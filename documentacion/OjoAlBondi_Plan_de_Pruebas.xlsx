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ciones" sheetId="1" state="visible" r:id="rId1"/>
    <sheet name="Plan de pruebas" sheetId="2" state="visible" r:id="rId2"/>
    <sheet name="Resumen" sheetId="3" state="visible" r:id="rId3"/>
  </sheets>
  <definedNames>
    <definedName name="_xlnm._FilterDatabase" localSheetId="1" hidden="1">'Plan de pruebas'!$A$1:$N$300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73A67"/>
      <sz val="15"/>
    </font>
    <font>
      <name val="Arial"/>
      <charset val="1"/>
      <family val="0"/>
      <color rgb="FF5B6B7C"/>
      <sz val="10"/>
    </font>
    <font>
      <name val="Arial"/>
      <charset val="1"/>
      <family val="0"/>
      <b val="1"/>
      <color rgb="FF173A67"/>
      <sz val="12"/>
    </font>
    <font>
      <name val="Arial"/>
      <charset val="1"/>
      <family val="0"/>
      <sz val="10"/>
    </font>
    <font>
      <name val="Arial"/>
      <charset val="1"/>
      <family val="0"/>
      <b val="1"/>
      <color rgb="FFFFFFFF"/>
      <sz val="10"/>
    </font>
    <font>
      <name val="Arial"/>
      <charset val="1"/>
      <family val="0"/>
      <sz val="9.5"/>
    </font>
    <font>
      <name val="Arial"/>
      <charset val="1"/>
      <family val="0"/>
      <b val="1"/>
      <sz val="9.5"/>
    </font>
    <font>
      <name val="Arial"/>
      <charset val="1"/>
      <family val="0"/>
      <b val="1"/>
      <color rgb="FF173A67"/>
      <sz val="14"/>
    </font>
    <font>
      <name val="Arial"/>
      <charset val="1"/>
      <family val="0"/>
      <b val="1"/>
      <sz val="12"/>
    </font>
    <font>
      <name val="Arial"/>
      <charset val="1"/>
      <family val="0"/>
      <b val="1"/>
      <sz val="10"/>
    </font>
    <font>
      <name val="Arial"/>
      <charset val="1"/>
      <family val="0"/>
      <i val="1"/>
      <color rgb="FF5B6B7C"/>
      <sz val="9"/>
    </font>
  </fonts>
  <fills count="5">
    <fill>
      <patternFill/>
    </fill>
    <fill>
      <patternFill patternType="gray125"/>
    </fill>
    <fill>
      <patternFill patternType="solid">
        <fgColor rgb="FF173A67"/>
        <bgColor rgb="FF333399"/>
      </patternFill>
    </fill>
    <fill>
      <patternFill patternType="solid">
        <fgColor rgb="FFF1F4F8"/>
        <bgColor rgb="FFE6F7EE"/>
      </patternFill>
    </fill>
    <fill>
      <patternFill patternType="solid">
        <fgColor rgb="FFFFF6CC"/>
        <bgColor rgb="FFFFF6DF"/>
      </patternFill>
    </fill>
  </fills>
  <borders count="2">
    <border>
      <left/>
      <right/>
      <top/>
      <bottom/>
      <diagonal/>
    </border>
    <border>
      <left style="thin">
        <color rgb="FFBFC8D4"/>
      </left>
      <right style="thin">
        <color rgb="FFBFC8D4"/>
      </right>
      <top style="thin">
        <color rgb="FFBFC8D4"/>
      </top>
      <bottom style="thin">
        <color rgb="FFBFC8D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73A67"/>
          <bgColor rgb="FF000000"/>
        </patternFill>
      </fill>
    </dxf>
    <dxf>
      <fill>
        <patternFill patternType="solid">
          <fgColor rgb="FFF1F4F8"/>
          <bgColor rgb="FF000000"/>
        </patternFill>
      </fill>
    </dxf>
    <dxf>
      <fill>
        <patternFill patternType="solid">
          <bgColor rgb="FF000000"/>
        </patternFill>
      </fill>
    </dxf>
    <dxf>
      <fill>
        <patternFill patternType="solid">
          <fgColor rgb="FFFFFFFF"/>
          <bgColor rgb="FF000000"/>
        </patternFill>
      </fill>
    </dxf>
    <dxf>
      <fill>
        <patternFill patternType="solid">
          <fgColor rgb="FFFFF6CC"/>
          <bgColor rgb="FF000000"/>
        </patternFill>
      </fill>
    </dxf>
    <dxf>
      <font>
        <name val="Arial"/>
        <charset val="1"/>
        <family val="0"/>
        <b val="1"/>
        <color rgb="FF1E7A4E"/>
      </font>
      <fill>
        <patternFill>
          <bgColor rgb="FFE6F7EE"/>
        </patternFill>
      </fill>
    </dxf>
    <dxf>
      <font>
        <name val="Arial"/>
        <charset val="1"/>
        <family val="0"/>
        <b val="1"/>
        <color rgb="FFC62828"/>
      </font>
      <fill>
        <patternFill>
          <bgColor rgb="FFFDEAEA"/>
        </patternFill>
      </fill>
    </dxf>
    <dxf>
      <font>
        <name val="Arial"/>
        <charset val="1"/>
        <family val="0"/>
        <b val="1"/>
        <color rgb="FF8A6500"/>
      </font>
      <fill>
        <patternFill>
          <bgColor rgb="FFFFF6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0"/>
      <rgbColor rgb="FF800080"/>
      <rgbColor rgb="FF1E7A4E"/>
      <rgbColor rgb="FFBFC8D4"/>
      <rgbColor rgb="FF808080"/>
      <rgbColor rgb="FF9999FF"/>
      <rgbColor rgb="FF993366"/>
      <rgbColor rgb="FFFFF6CC"/>
      <rgbColor rgb="FFE6F7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F4F8"/>
      <rgbColor rgb="FFFDEAEA"/>
      <rgbColor rgb="FFFFF6DF"/>
      <rgbColor rgb="FF99CCFF"/>
      <rgbColor rgb="FFFF99CC"/>
      <rgbColor rgb="FFCC99FF"/>
      <rgbColor rgb="FFFFCC99"/>
      <rgbColor rgb="FF3366FF"/>
      <rgbColor rgb="FF33CCCC"/>
      <rgbColor rgb="FF99CC00"/>
      <rgbColor rgb="FFFFCC00"/>
      <rgbColor rgb="FFFF9900"/>
      <rgbColor rgb="FFFF6600"/>
      <rgbColor rgb="FF5B6B7C"/>
      <rgbColor rgb="FF969696"/>
      <rgbColor rgb="FF173A67"/>
      <rgbColor rgb="FF339966"/>
      <rgbColor rgb="FF003300"/>
      <rgbColor rgb="FF333300"/>
      <rgbColor rgb="FFC6282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0" min="1" max="1"/>
    <col width="118" customWidth="1" style="20" min="2" max="2"/>
  </cols>
  <sheetData>
    <row r="1" ht="18.55" customHeight="1" s="21">
      <c r="B1" s="22" t="inlineStr">
        <is>
          <t>OjoAlBondi — Plan de pruebas (Etapa 1, RF-25 y beta)</t>
        </is>
      </c>
    </row>
    <row r="2" ht="15" customHeight="1" s="21">
      <c r="B2" s="23" t="inlineStr">
        <is>
          <t>59 criterios de aceptación: los 56 de la Especificación vigente v10, ordenados para ejecutarse en secuencia, más los agregados desde el 11/10/2026 al final de la lista.</t>
        </is>
      </c>
    </row>
    <row r="3" ht="15" customHeight="1" s="21">
      <c r="B3" s="24" t="n"/>
    </row>
    <row r="4" ht="15" customHeight="1" s="21">
      <c r="B4" s="25" t="inlineStr">
        <is>
          <t>Antes de empezar</t>
        </is>
      </c>
    </row>
    <row r="5" ht="15" customHeight="1" s="21">
      <c r="B5" s="26" t="inlineStr">
        <is>
          <t>1. Base de datos actualizada (migraciones 004 a 006, o instalación completa) y paradas cargadas. CA-RNF01-3 necesita la migración 006.</t>
        </is>
      </c>
    </row>
    <row r="6" ht="15" customHeight="1" s="21">
      <c r="B6" s="26" t="inlineStr">
        <is>
          <t>2. Datos de prueba cargados:  npm run datos-prueba:borrar  y luego  npm run datos-prueba  (desde ojoalbondi-backend).</t>
        </is>
      </c>
    </row>
    <row r="7" ht="15" customHeight="1" s="21">
      <c r="B7" s="26" t="inlineStr">
        <is>
          <t>3. "Confirm email" desactivado en Supabase. App abierta en Expo Go (SDK 57) con el .env del proyecto.</t>
        </is>
      </c>
    </row>
    <row r="8" ht="15" customHeight="1" s="21">
      <c r="B8" s="24" t="n"/>
    </row>
    <row r="9" ht="15" customHeight="1" s="21">
      <c r="B9" s="25" t="inlineStr">
        <is>
          <t>Cuentas de prueba (contraseña Prueba123!)</t>
        </is>
      </c>
    </row>
    <row r="10" ht="15" customHeight="1" s="21">
      <c r="B10" s="26" t="inlineStr">
        <is>
          <t>• vecino1@prueba.ojoalbondi … vecino8@prueba.ojoalbondi → ciudadanos con reclamos cargados.</t>
        </is>
      </c>
    </row>
    <row r="11" ht="15" customHeight="1" s="21">
      <c r="B11" s="26" t="inlineStr">
        <is>
          <t>• tratado@prueba.ojoalbondi → Tratado del Pilar: suscripción activa a la 501 (opera también la 503, sin suscripción).</t>
        </is>
      </c>
    </row>
    <row r="12" ht="15" customHeight="1" s="21">
      <c r="B12" s="26" t="inlineStr">
        <is>
          <t>• pilarbus@prueba.ojoalbondi → Pilar Bus: suscripción activa a la 510.</t>
        </is>
      </c>
    </row>
    <row r="13" ht="15" customHeight="1" s="21">
      <c r="B13" s="26" t="inlineStr">
        <is>
          <t>• municipio@prueba.ojoalbondi → ve todas las líneas.</t>
        </is>
      </c>
    </row>
    <row r="14" ht="15" customHeight="1" s="21">
      <c r="B14" s="24" t="n"/>
    </row>
    <row r="15" ht="15" customHeight="1" s="21">
      <c r="B15" s="25" t="inlineStr">
        <is>
          <t>Cómo registrar los resultados</t>
        </is>
      </c>
    </row>
    <row r="16" ht="15" customHeight="1" s="21">
      <c r="B16" s="26" t="inlineStr">
        <is>
          <t>• Completar solo las celdas amarillas de la hoja "Plan de pruebas": Resultado (lista), Observaciones, Probado por y Fecha.</t>
        </is>
      </c>
    </row>
    <row r="17" ht="23.85" customHeight="1" s="21">
      <c r="B17" s="26" t="inlineStr">
        <is>
          <t>• Pasa: el resultado coincide con "Entonces".  Falla: no coincide (describir qué pasó en Observaciones).  Bloqueado: no se pudo probar (explicar por qué).</t>
        </is>
      </c>
    </row>
    <row r="18" ht="15" customHeight="1" s="21">
      <c r="B18" s="26" t="inlineStr">
        <is>
          <t>• Cada falla se corrige y se documenta con su Registro de cambio; después se vuelve a probar y se actualiza el resultado.</t>
        </is>
      </c>
    </row>
    <row r="19" ht="15" customHeight="1" s="21">
      <c r="B19" s="26" t="inlineStr">
        <is>
          <t>• La hoja "Resumen" muestra el avance automáticamente.</t>
        </is>
      </c>
    </row>
    <row r="20" ht="15" customHeight="1" s="21">
      <c r="B20" s="24" t="n"/>
    </row>
    <row r="21" ht="15" customHeight="1" s="21">
      <c r="B21" s="25" t="inlineStr">
        <is>
          <t>Pruebas de tipo "Base de datos"</t>
        </is>
      </c>
    </row>
    <row r="22" ht="15" customHeight="1" s="21">
      <c r="B22" s="26" t="inlineStr">
        <is>
          <t>• Verifican que la seguridad esté en la base y no solo en la app. Se hacen en Supabase &gt; SQL Editor con el SQL de la columna "Cómo probarlo".</t>
        </is>
      </c>
    </row>
    <row r="23" ht="23.85" customHeight="1" s="21">
      <c r="B23" s="26" t="inlineStr">
        <is>
          <t>• "Como &lt;cuenta&gt;": ejecutar la consulta en nombre de ese usuario, usando la opción para elegir el rol o impersonar un usuario del SQL Editor (rol authenticated + la cuenta). Si el panel no la ofrece, avisar: se puede resolver con un script.</t>
        </is>
      </c>
    </row>
    <row r="24" ht="15" customHeight="1" s="21">
      <c r="B24" s="26" t="inlineStr">
        <is>
          <t>• "Administrador": ejecutar la consulta normalmente en el SQL Editor.</t>
        </is>
      </c>
    </row>
    <row r="25" ht="15" customHeight="1" s="21">
      <c r="B25" s="26" t="inlineStr">
        <is>
          <t>• Los &lt;id&gt; se obtienen con consultas como: select id, ticket, estado from reclamos where linea = '501' limit 5;</t>
        </is>
      </c>
    </row>
    <row r="26" ht="15" customHeight="1" s="21">
      <c r="B26" s="26" t="inlineStr">
        <is>
          <t>• Al terminar CA-RF25-3 a CA-RF25-5, la suscripción de prueba de la 503 queda suspendida: no afecta las demás pruebas.</t>
        </is>
      </c>
    </row>
    <row r="28" s="21">
      <c r="B28" s="25" t="inlineStr">
        <is>
          <t>Criterios agregados después de la v10</t>
        </is>
      </c>
    </row>
    <row r="29" s="21">
      <c r="B29" s="26" t="inlineStr">
        <is>
          <t>• CA-RF02-5 y CA-RF02-6 (11/10/2026, Registro de cambio N° 20): se prueban en la base de la beta, con "Confirm email" activado y SMTP propio. Usar un correo real.</t>
        </is>
      </c>
    </row>
    <row r="30">
      <c r="B30" s="26" t="inlineStr">
        <is>
          <t>• CA-RNF01-3 (11/10/2026, Registro de cambio N° 19): ticket y fecha de registro asignados por la base. Se prueba en desarrollo después de correr la migración 006.</t>
        </is>
      </c>
    </row>
    <row r="31">
      <c r="B31" s="26" t="inlineStr">
        <is>
          <t>• Para sumar criterios nuevos: agregar la fila al final de "Plan de pruebas" (el Resumen ya cuenta hasta la fila 300) y anotar acá el registro que lo origina.</t>
        </is>
      </c>
    </row>
    <row r="33" s="21">
      <c r="B33" s="25" t="inlineStr">
        <is>
          <t>Pruebas automáticas y reparto (11/10/2026, Registro de cambio N° 34)</t>
        </is>
      </c>
    </row>
    <row r="34" s="21">
      <c r="B34" s="26" t="inlineStr">
        <is>
          <t>• Casos de tipo "Base de datos": pegar ojoalbondi-app/pruebas/pruebas_base_beta.sql en el SQL Editor de la beta → Run. Corre cada caso en nombre de su cuenta y deshace todo; comparar "resultado" con "esperado". Primera corrida: 11/10/2026, 15 Pasa.</t>
        </is>
      </c>
    </row>
    <row r="35" s="21">
      <c r="B35" s="26" t="inlineStr">
        <is>
          <t>• Lo que pasa por la API (alta, Storage, RPC): desde VS Code, en la carpeta ojoalbondi-app, node pruebas/probar-api.mjs. Cubre CA-RF01-6 y CA-RNF01-7 y repite por la API varios de seguridad.</t>
        </is>
      </c>
    </row>
    <row r="36" s="21">
      <c r="B36" s="26" t="inlineStr">
        <is>
          <t>• Casos de App: reparto por integrante en ojoalbondi-app/pruebas/GUIA_PRUEBAS.md.</t>
        </is>
      </c>
    </row>
    <row r="37" s="21">
      <c r="B37" s="26" t="inlineStr">
        <is>
          <t>• Datos de la beta distintos a los de arriba: tratado tiene activas la 501, la 501-503 y la 503; pilarbus la 510; rutabus la 511 pendiente; la 520 no tiene suscripción. Ver las observaciones de CA-RF11-3, CA-RF25-1 y CA-RF25-2.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7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0" min="1" max="1"/>
    <col width="12" customWidth="1" style="20" min="2" max="2"/>
    <col width="22" customWidth="1" style="20" min="3" max="3"/>
    <col width="24" customWidth="1" style="20" min="4" max="4"/>
    <col width="26" customWidth="1" style="20" min="5" max="5"/>
    <col width="12" customWidth="1" style="20" min="6" max="6"/>
    <col width="30" customWidth="1" style="20" min="7" max="7"/>
    <col width="28" customWidth="1" style="20" min="8" max="8"/>
    <col width="36" customWidth="1" style="20" min="9" max="9"/>
    <col width="40" customWidth="1" style="20" min="10" max="10"/>
    <col width="13" customWidth="1" style="20" min="11" max="11"/>
    <col width="30" customWidth="1" style="20" min="12" max="12"/>
    <col width="14" customWidth="1" style="20" min="13" max="13"/>
    <col width="12" customWidth="1" style="20" min="14" max="14"/>
  </cols>
  <sheetData>
    <row r="1" ht="30" customHeight="1" s="21">
      <c r="A1" s="27" t="inlineStr">
        <is>
          <t>N°</t>
        </is>
      </c>
      <c r="B1" s="27" t="inlineStr">
        <is>
          <t>ID</t>
        </is>
      </c>
      <c r="C1" s="27" t="inlineStr">
        <is>
          <t>Requerimiento</t>
        </is>
      </c>
      <c r="D1" s="27" t="inlineStr">
        <is>
          <t>Bloque</t>
        </is>
      </c>
      <c r="E1" s="27" t="inlineStr">
        <is>
          <t>Cuenta</t>
        </is>
      </c>
      <c r="F1" s="27" t="inlineStr">
        <is>
          <t>Tipo</t>
        </is>
      </c>
      <c r="G1" s="27" t="inlineStr">
        <is>
          <t>Dado</t>
        </is>
      </c>
      <c r="H1" s="27" t="inlineStr">
        <is>
          <t>Cuando</t>
        </is>
      </c>
      <c r="I1" s="27" t="inlineStr">
        <is>
          <t>Entonces (resultado esperado)</t>
        </is>
      </c>
      <c r="J1" s="27" t="inlineStr">
        <is>
          <t>Cómo probarlo</t>
        </is>
      </c>
      <c r="K1" s="27" t="inlineStr">
        <is>
          <t>Resultado</t>
        </is>
      </c>
      <c r="L1" s="27" t="inlineStr">
        <is>
          <t>Observaciones</t>
        </is>
      </c>
      <c r="M1" s="27" t="inlineStr">
        <is>
          <t>Probado por</t>
        </is>
      </c>
      <c r="N1" s="27" t="inlineStr">
        <is>
          <t>Fecha</t>
        </is>
      </c>
    </row>
    <row r="2" ht="23.85" customHeight="1" s="21">
      <c r="A2" s="28" t="n">
        <v>1</v>
      </c>
      <c r="B2" s="29" t="inlineStr">
        <is>
          <t>CA-RF01-1</t>
        </is>
      </c>
      <c r="C2" s="28" t="inlineStr">
        <is>
          <t>RF-01 Registro</t>
        </is>
      </c>
      <c r="D2" s="28" t="inlineStr">
        <is>
          <t>1. Registro e inicio de sesión</t>
        </is>
      </c>
      <c r="E2" s="28" t="inlineStr">
        <is>
          <t>Correo nuevo (sin cuenta)</t>
        </is>
      </c>
      <c r="F2" s="28" t="inlineStr">
        <is>
          <t>App</t>
        </is>
      </c>
      <c r="G2" s="28" t="inlineStr">
        <is>
          <t>Estoy en Registro con todos los campos completos y válidos</t>
        </is>
      </c>
      <c r="H2" s="28" t="inlineStr">
        <is>
          <t>Toco "Registrarme"</t>
        </is>
      </c>
      <c r="I2" s="28" t="inlineStr">
        <is>
          <t>Se crea una cuenta de ciudadano, se muestra "Cuenta creada" y paso a Login</t>
        </is>
      </c>
      <c r="J2" s="28" t="n"/>
      <c r="K2" s="30" t="inlineStr">
        <is>
          <t>Pasa</t>
        </is>
      </c>
      <c r="L2" s="30" t="inlineStr">
        <is>
          <t>Correo usado: realemii72+ojoalbondi1@gmail.com. Se mostró "Cuenta creada" y pasó a Login. Como la beta tiene "Confirm email" activo, la cuenta queda sin confirmar y no puede entrar hasta abrir el mail. Ojo: el SMTP incluido de Supabase permite 2 mails por hora; al pasarse, el alta falla con 429 (over_email_send_rate_limit), la cuenta no se crea y la app muestra solo "Ocurrió un error. Intentá de nuevo." (pasó con ojoalbondi.app@gmail.com).</t>
        </is>
      </c>
      <c r="M2" s="30" t="inlineStr">
        <is>
          <t>Claude en VS Code, emulador</t>
        </is>
      </c>
      <c r="N2" s="31" t="n">
        <v>46306</v>
      </c>
    </row>
    <row r="3" ht="23.85" customHeight="1" s="21">
      <c r="A3" s="32" t="n">
        <v>2</v>
      </c>
      <c r="B3" s="33" t="inlineStr">
        <is>
          <t>CA-RF01-2</t>
        </is>
      </c>
      <c r="C3" s="32" t="inlineStr">
        <is>
          <t>RF-01 Registro</t>
        </is>
      </c>
      <c r="D3" s="32" t="inlineStr">
        <is>
          <t>1. Registro e inicio de sesión</t>
        </is>
      </c>
      <c r="E3" s="32" t="inlineStr">
        <is>
          <t>Correo nuevo (sin cuenta)</t>
        </is>
      </c>
      <c r="F3" s="32" t="inlineStr">
        <is>
          <t>App</t>
        </is>
      </c>
      <c r="G3" s="32" t="inlineStr">
        <is>
          <t>Dejé uno o más campos vacíos</t>
        </is>
      </c>
      <c r="H3" s="32" t="inlineStr">
        <is>
          <t>Toco "Registrarme"</t>
        </is>
      </c>
      <c r="I3" s="32" t="inlineStr">
        <is>
          <t>Se muestra "Completá todos los campos." y no se crea la cuenta</t>
        </is>
      </c>
      <c r="J3" s="32" t="n"/>
      <c r="K3" s="30" t="inlineStr">
        <is>
          <t>Pasa</t>
        </is>
      </c>
      <c r="L3" s="30" t="inlineStr">
        <is>
          <t>Solo con Nombre completo: se mostró "Completá todos los campos." y la app quedó en Registro.</t>
        </is>
      </c>
      <c r="M3" s="30" t="inlineStr">
        <is>
          <t>Claude en VS Code, emulador</t>
        </is>
      </c>
      <c r="N3" s="31" t="n">
        <v>46306</v>
      </c>
    </row>
    <row r="4" ht="35.05" customHeight="1" s="21">
      <c r="A4" s="28" t="n">
        <v>3</v>
      </c>
      <c r="B4" s="29" t="inlineStr">
        <is>
          <t>CA-RF01-3</t>
        </is>
      </c>
      <c r="C4" s="28" t="inlineStr">
        <is>
          <t>RF-01 Registro</t>
        </is>
      </c>
      <c r="D4" s="28" t="inlineStr">
        <is>
          <t>1. Registro e inicio de sesión</t>
        </is>
      </c>
      <c r="E4" s="28" t="inlineStr">
        <is>
          <t>Correo nuevo (sin cuenta)</t>
        </is>
      </c>
      <c r="F4" s="28" t="inlineStr">
        <is>
          <t>App</t>
        </is>
      </c>
      <c r="G4" s="28" t="inlineStr">
        <is>
          <t>La contraseña tiene menos de 6 caracteres, o las dos contraseñas no coinciden</t>
        </is>
      </c>
      <c r="H4" s="28" t="inlineStr">
        <is>
          <t>Toco "Registrarme"</t>
        </is>
      </c>
      <c r="I4" s="28" t="inlineStr">
        <is>
          <t>Se muestra el mensaje correspondiente y no se crea la cuenta</t>
        </is>
      </c>
      <c r="J4" s="28" t="n"/>
      <c r="K4" s="30" t="inlineStr">
        <is>
          <t>Pasa</t>
        </is>
      </c>
      <c r="L4" s="30" t="inlineStr">
        <is>
          <t>Contraseña de 3 caracteres: "La contraseña debe tener al menos 6 caracteres.". Contraseñas distintas: "Las contraseñas no coinciden.". En los dos casos quedó en Registro (captura con las dos pantallas).</t>
        </is>
      </c>
      <c r="M4" s="30" t="inlineStr">
        <is>
          <t>Claude en VS Code, emulador</t>
        </is>
      </c>
      <c r="N4" s="31" t="n">
        <v>46306</v>
      </c>
    </row>
    <row r="5" ht="23.85" customHeight="1" s="21">
      <c r="A5" s="32" t="n">
        <v>4</v>
      </c>
      <c r="B5" s="33" t="inlineStr">
        <is>
          <t>CA-RF01-4</t>
        </is>
      </c>
      <c r="C5" s="32" t="inlineStr">
        <is>
          <t>RF-01 Registro</t>
        </is>
      </c>
      <c r="D5" s="32" t="inlineStr">
        <is>
          <t>1. Registro e inicio de sesión</t>
        </is>
      </c>
      <c r="E5" s="32" t="inlineStr">
        <is>
          <t>Correo nuevo (sin cuenta)</t>
        </is>
      </c>
      <c r="F5" s="32" t="inlineStr">
        <is>
          <t>App</t>
        </is>
      </c>
      <c r="G5" s="32" t="inlineStr">
        <is>
          <t>Ya existe una cuenta con ese correo</t>
        </is>
      </c>
      <c r="H5" s="32" t="inlineStr">
        <is>
          <t>Toco "Registrarme"</t>
        </is>
      </c>
      <c r="I5" s="32" t="inlineStr">
        <is>
          <t>Se muestra "Ya existe una cuenta con ese correo." y no se crea otra</t>
        </is>
      </c>
      <c r="J5" s="32" t="n"/>
      <c r="K5" s="30" t="inlineStr">
        <is>
          <t>Pasa</t>
        </is>
      </c>
      <c r="L5" s="30" t="inlineStr">
        <is>
          <t>Con vecino1@prueba.ojoalbondi (cuenta confirmada): se mostró "Ya existe una cuenta con ese correo." y quedó en Registro. Nota: si la cuenta existente todavía NO confirmó el correo (probado con realemii72+ojoalbondi1@gmail.com), la app muestra "Cuenta creada": Supabase devuelve el mismo usuario (mismo id en los logs de Auth, no crea otro) y reenvía el mail de confirmación.</t>
        </is>
      </c>
      <c r="M5" s="30" t="inlineStr">
        <is>
          <t>Claude en VS Code, emulador</t>
        </is>
      </c>
      <c r="N5" s="31" t="n">
        <v>46306</v>
      </c>
    </row>
    <row r="6" ht="23.85" customHeight="1" s="21">
      <c r="A6" s="28" t="n">
        <v>5</v>
      </c>
      <c r="B6" s="29" t="inlineStr">
        <is>
          <t>CA-RF01-5</t>
        </is>
      </c>
      <c r="C6" s="28" t="inlineStr">
        <is>
          <t>RF-01 Registro</t>
        </is>
      </c>
      <c r="D6" s="28" t="inlineStr">
        <is>
          <t>1. Registro e inicio de sesión</t>
        </is>
      </c>
      <c r="E6" s="28" t="inlineStr">
        <is>
          <t>Correo nuevo (sin cuenta)</t>
        </is>
      </c>
      <c r="F6" s="28" t="inlineStr">
        <is>
          <t>App</t>
        </is>
      </c>
      <c r="G6" s="28" t="inlineStr">
        <is>
          <t>Estoy eligiendo la fecha de nacimiento</t>
        </is>
      </c>
      <c r="H6" s="28" t="inlineStr">
        <is>
          <t>Abro el calendario</t>
        </is>
      </c>
      <c r="I6" s="28" t="inlineStr">
        <is>
          <t>No puedo elegir una fecha posterior a hoy</t>
        </is>
      </c>
      <c r="J6" s="28" t="n"/>
      <c r="K6" s="30" t="inlineStr">
        <is>
          <t>Pasa</t>
        </is>
      </c>
      <c r="L6" s="30" t="inlineStr">
        <is>
          <t>En el calendario de Android los días posteriores a hoy (11/10/2026) aparecen grises y al tocarlos no se seleccionan; no hay flecha al mes siguiente y la lista de años termina en 2026.</t>
        </is>
      </c>
      <c r="M6" s="30" t="inlineStr">
        <is>
          <t>Claude en VS Code, emulador</t>
        </is>
      </c>
      <c r="N6" s="31" t="n">
        <v>46306</v>
      </c>
    </row>
    <row r="7" ht="23.85" customHeight="1" s="21">
      <c r="A7" s="32" t="n">
        <v>6</v>
      </c>
      <c r="B7" s="33" t="inlineStr">
        <is>
          <t>CA-RF02-1</t>
        </is>
      </c>
      <c r="C7" s="32" t="inlineStr">
        <is>
          <t>RF-02 Inicio de sesión</t>
        </is>
      </c>
      <c r="D7" s="32" t="inlineStr">
        <is>
          <t>1. Registro e inicio de sesión</t>
        </is>
      </c>
      <c r="E7" s="32" t="inlineStr">
        <is>
          <t>vecino1@prueba.ojoalbondi</t>
        </is>
      </c>
      <c r="F7" s="32" t="inlineStr">
        <is>
          <t>App</t>
        </is>
      </c>
      <c r="G7" s="32" t="inlineStr">
        <is>
          <t>Tengo una cuenta de ciudadano</t>
        </is>
      </c>
      <c r="H7" s="32" t="inlineStr">
        <is>
          <t>Ingreso correo y contraseña correctos</t>
        </is>
      </c>
      <c r="I7" s="32" t="inlineStr">
        <is>
          <t>Entro a la pantalla Reportar</t>
        </is>
      </c>
      <c r="J7" s="32" t="n"/>
      <c r="K7" s="30" t="inlineStr">
        <is>
          <t>Pasa</t>
        </is>
      </c>
      <c r="L7" s="30" t="inlineStr">
        <is>
          <t>vecino1@prueba.ojoalbondi / Prueba123!: entró a Reportar ("Hola, Lucía" y Últimos reportes). En el emulador la barra inferior salió sin íconos porque Expo Go no pudo bajar la fuente Ionicons del servidor de desarrollo (problema del entorno, no de la app).</t>
        </is>
      </c>
      <c r="M7" s="30" t="inlineStr">
        <is>
          <t>Claude en VS Code, emulador</t>
        </is>
      </c>
      <c r="N7" s="31" t="n">
        <v>46306</v>
      </c>
    </row>
    <row r="8" ht="23.85" customHeight="1" s="21">
      <c r="A8" s="28" t="n">
        <v>7</v>
      </c>
      <c r="B8" s="29" t="inlineStr">
        <is>
          <t>CA-RF02-2</t>
        </is>
      </c>
      <c r="C8" s="28" t="inlineStr">
        <is>
          <t>RF-02 Inicio de sesión</t>
        </is>
      </c>
      <c r="D8" s="28" t="inlineStr">
        <is>
          <t>1. Registro e inicio de sesión</t>
        </is>
      </c>
      <c r="E8" s="28" t="inlineStr">
        <is>
          <t>vecino1@prueba.ojoalbondi</t>
        </is>
      </c>
      <c r="F8" s="28" t="inlineStr">
        <is>
          <t>App</t>
        </is>
      </c>
      <c r="G8" s="28" t="inlineStr">
        <is>
          <t>Ingresé un correo o una contraseña incorrectos</t>
        </is>
      </c>
      <c r="H8" s="28" t="inlineStr">
        <is>
          <t>Toco "Iniciar sesión"</t>
        </is>
      </c>
      <c r="I8" s="28" t="inlineStr">
        <is>
          <t>Se muestra "El correo o la contraseña son incorrectos." y no entro</t>
        </is>
      </c>
      <c r="J8" s="28" t="n"/>
      <c r="K8" s="30" t="inlineStr">
        <is>
          <t>Pasa</t>
        </is>
      </c>
      <c r="L8" s="30" t="inlineStr">
        <is>
          <t>vecino1@prueba.ojoalbondi con contraseña incorrecta: se mostró "El correo o la contraseña son incorrectos." y quedó en Login.</t>
        </is>
      </c>
      <c r="M8" s="30" t="inlineStr">
        <is>
          <t>Claude en VS Code, emulador</t>
        </is>
      </c>
      <c r="N8" s="31" t="n">
        <v>46306</v>
      </c>
    </row>
    <row r="9" ht="35.05" customHeight="1" s="21">
      <c r="A9" s="32" t="n">
        <v>8</v>
      </c>
      <c r="B9" s="33" t="inlineStr">
        <is>
          <t>CA-RF02-3</t>
        </is>
      </c>
      <c r="C9" s="32" t="inlineStr">
        <is>
          <t>RF-02 Inicio de sesión</t>
        </is>
      </c>
      <c r="D9" s="32" t="inlineStr">
        <is>
          <t>1. Registro e inicio de sesión</t>
        </is>
      </c>
      <c r="E9" s="32" t="inlineStr">
        <is>
          <t>vecino1@prueba.ojoalbondi</t>
        </is>
      </c>
      <c r="F9" s="32" t="inlineStr">
        <is>
          <t>App</t>
        </is>
      </c>
      <c r="G9" s="32" t="inlineStr">
        <is>
          <t>Escribí mi correo en Login</t>
        </is>
      </c>
      <c r="H9" s="32" t="inlineStr">
        <is>
          <t>Toco "¿Olvidaste tu contraseña?"</t>
        </is>
      </c>
      <c r="I9" s="32" t="inlineStr">
        <is>
          <t>Recibo un mail para restablecerla y la app me avisa que lo envió. Si el correo está vacío, la app me pide escribirlo</t>
        </is>
      </c>
      <c r="J9" s="32" t="n"/>
      <c r="K9" s="30" t="inlineStr">
        <is>
          <t>Pasa</t>
        </is>
      </c>
      <c r="L9" s="30" t="inlineStr">
        <is>
          <t>Probado 12/10/2026 en la beta con ojoalbondi.app@gmail.com (en lugar de vecino1, para poder ver el mail). Con el correo vacío, la app mostró "Escribí tu correo arriba y tocá de nuevo “¿Olvidaste tu contraseña?”." Con el correo escrito mostró "Revisá tu correo — Te enviamos un mail a ojoalbondi.app@gmail.com para restablecer tu contraseña." y el mail llegó (confirmado por el equipo). No apareció el aviso de demasiados correos. Captura: correo vacío a la izquierda y envío a la derecha. No se abrió el enlace; probablemente redirija a localhost:3000 como el de confirmación (ver CA-RF02-6).</t>
        </is>
      </c>
      <c r="M9" s="30" t="inlineStr">
        <is>
          <t>Claude (automatizado)</t>
        </is>
      </c>
      <c r="N9" s="31" t="n">
        <v>46307</v>
      </c>
    </row>
    <row r="10" ht="23.85" customHeight="1" s="21">
      <c r="A10" s="28" t="n">
        <v>9</v>
      </c>
      <c r="B10" s="29" t="inlineStr">
        <is>
          <t>CA-RF02-4</t>
        </is>
      </c>
      <c r="C10" s="28" t="inlineStr">
        <is>
          <t>RF-02 Inicio de sesión</t>
        </is>
      </c>
      <c r="D10" s="28" t="inlineStr">
        <is>
          <t>1. Registro e inicio de sesión</t>
        </is>
      </c>
      <c r="E10" s="28" t="inlineStr">
        <is>
          <t>vecino1@prueba.ojoalbondi</t>
        </is>
      </c>
      <c r="F10" s="28" t="inlineStr">
        <is>
          <t>App</t>
        </is>
      </c>
      <c r="G10" s="28" t="inlineStr">
        <is>
          <t>Inicié sesión</t>
        </is>
      </c>
      <c r="H10" s="28" t="inlineStr">
        <is>
          <t>Cierro la app y la vuelvo a abrir</t>
        </is>
      </c>
      <c r="I10" s="28" t="inlineStr">
        <is>
          <t>Sigo con la sesión iniciada. Al tocar "Cerrar sesión" vuelvo a Bienvenida</t>
        </is>
      </c>
      <c r="J10" s="28" t="n"/>
      <c r="K10" s="30" t="inlineStr">
        <is>
          <t>Pasa</t>
        </is>
      </c>
      <c r="L10" s="30" t="inlineStr">
        <is>
          <t>Con vecino1: cerré Expo Go del todo (force-stop) y al reabrir el proyecto siguió en Reportar con la sesión iniciada (probado dos veces). "Cerrar sesión" en Ajustes volvió a Bienvenida. Detalle visual: en Ajustes, al desplazar, el título "Ajustes" queda superpuesto con la barra de estado del celular.</t>
        </is>
      </c>
      <c r="M10" s="30" t="inlineStr">
        <is>
          <t>Claude en VS Code, emulador</t>
        </is>
      </c>
      <c r="N10" s="31" t="n">
        <v>46306</v>
      </c>
    </row>
    <row r="11" ht="23.85" customHeight="1" s="21">
      <c r="A11" s="32" t="n">
        <v>10</v>
      </c>
      <c r="B11" s="33" t="inlineStr">
        <is>
          <t>CA-RN02-1</t>
        </is>
      </c>
      <c r="C11" s="32" t="inlineStr">
        <is>
          <t>RN-02 Cuentas institucionales</t>
        </is>
      </c>
      <c r="D11" s="32" t="inlineStr">
        <is>
          <t>1. Registro e inicio de sesión</t>
        </is>
      </c>
      <c r="E11" s="32" t="inlineStr">
        <is>
          <t>La cuenta creada en CA-RF01-1</t>
        </is>
      </c>
      <c r="F11" s="32" t="inlineStr">
        <is>
          <t>Base de datos</t>
        </is>
      </c>
      <c r="G11" s="32" t="inlineStr">
        <is>
          <t>Me registro desde la app</t>
        </is>
      </c>
      <c r="H11" s="32" t="inlineStr">
        <is>
          <t>Se crea mi cuenta</t>
        </is>
      </c>
      <c r="I11" s="32" t="inlineStr">
        <is>
          <t>La cuenta es siempre de ciudadano</t>
        </is>
      </c>
      <c r="J11" s="32" t="inlineStr">
        <is>
          <t>select rol from perfiles where id = '&lt;id de la cuenta nueva&gt;';  → 'ciudadano'</t>
        </is>
      </c>
      <c r="K11" s="30" t="inlineStr">
        <is>
          <t>Pasa</t>
        </is>
      </c>
      <c r="L11" s="30" t="inlineStr">
        <is>
          <t>Verificado en la base simulando el alta (insert en auth.users con metadatos que piden rol admin): el perfil queda "ciudadano". Se deshizo. El alta desde la app se mira en CA-RF01-1.</t>
        </is>
      </c>
      <c r="M11" s="30" t="inlineStr">
        <is>
          <t>Claude (SQL en la beta, en nombre de la cuenta del caso)</t>
        </is>
      </c>
      <c r="N11" s="31" t="n">
        <v>46306</v>
      </c>
    </row>
    <row r="12" ht="35.05" customHeight="1" s="21">
      <c r="A12" s="28" t="n">
        <v>11</v>
      </c>
      <c r="B12" s="29" t="inlineStr">
        <is>
          <t>CA-RF03-1</t>
        </is>
      </c>
      <c r="C12" s="28" t="inlineStr">
        <is>
          <t>RF-03 Crear reclamo</t>
        </is>
      </c>
      <c r="D12" s="28" t="inlineStr">
        <is>
          <t>2. Ciudadano: crear reclamo</t>
        </is>
      </c>
      <c r="E12" s="28" t="inlineStr">
        <is>
          <t>vecino1@prueba.ojoalbondi</t>
        </is>
      </c>
      <c r="F12" s="28" t="inlineStr">
        <is>
          <t>App</t>
        </is>
      </c>
      <c r="G12" s="28" t="inlineStr">
        <is>
          <t>Completé línea, interno o patente, sentido, motivo, fecha, hora y ubicación</t>
        </is>
      </c>
      <c r="H12" s="28" t="inlineStr">
        <is>
          <t>Toco "Enviar reporte"</t>
        </is>
      </c>
      <c r="I12" s="28" t="inlineStr">
        <is>
          <t>El reclamo se registra y paso a Confirmación</t>
        </is>
      </c>
      <c r="J12" s="28" t="n"/>
      <c r="K12" s="30" t="n"/>
      <c r="L12" s="30" t="n"/>
      <c r="M12" s="30" t="n"/>
      <c r="N12" s="31" t="n"/>
    </row>
    <row r="13" ht="23.85" customHeight="1" s="21">
      <c r="A13" s="32" t="n">
        <v>12</v>
      </c>
      <c r="B13" s="33" t="inlineStr">
        <is>
          <t>CA-RF03-2</t>
        </is>
      </c>
      <c r="C13" s="32" t="inlineStr">
        <is>
          <t>RF-03 Crear reclamo</t>
        </is>
      </c>
      <c r="D13" s="32" t="inlineStr">
        <is>
          <t>2. Ciudadano: crear reclamo</t>
        </is>
      </c>
      <c r="E13" s="32" t="inlineStr">
        <is>
          <t>vecino1@prueba.ojoalbondi</t>
        </is>
      </c>
      <c r="F13" s="32" t="inlineStr">
        <is>
          <t>App</t>
        </is>
      </c>
      <c r="G13" s="32" t="inlineStr">
        <is>
          <t>Falta alguno de los campos obligatorios</t>
        </is>
      </c>
      <c r="H13" s="32" t="inlineStr">
        <is>
          <t>Toco "Enviar reporte"</t>
        </is>
      </c>
      <c r="I13" s="32" t="inlineStr">
        <is>
          <t>Se muestra qué falta completar y el reclamo no se envía</t>
        </is>
      </c>
      <c r="J13" s="32" t="n"/>
      <c r="K13" s="30" t="n"/>
      <c r="L13" s="30" t="n"/>
      <c r="M13" s="30" t="n"/>
      <c r="N13" s="31" t="n"/>
    </row>
    <row r="14" ht="23.85" customHeight="1" s="21">
      <c r="A14" s="28" t="n">
        <v>13</v>
      </c>
      <c r="B14" s="29" t="inlineStr">
        <is>
          <t>CA-RF03-3</t>
        </is>
      </c>
      <c r="C14" s="28" t="inlineStr">
        <is>
          <t>RF-03 Crear reclamo</t>
        </is>
      </c>
      <c r="D14" s="28" t="inlineStr">
        <is>
          <t>2. Ciudadano: crear reclamo</t>
        </is>
      </c>
      <c r="E14" s="28" t="inlineStr">
        <is>
          <t>vecino1@prueba.ojoalbondi</t>
        </is>
      </c>
      <c r="F14" s="28" t="inlineStr">
        <is>
          <t>App</t>
        </is>
      </c>
      <c r="G14" s="28" t="inlineStr">
        <is>
          <t>Elegí el motivo "Robo, hurto o agresión"</t>
        </is>
      </c>
      <c r="H14" s="28" t="inlineStr">
        <is>
          <t>Miro el formulario</t>
        </is>
      </c>
      <c r="I14" s="28" t="inlineStr">
        <is>
          <t>Veo el aviso del 911, y puedo enviar el reclamo sin completar interno o patente</t>
        </is>
      </c>
      <c r="J14" s="28" t="n"/>
      <c r="K14" s="30" t="n"/>
      <c r="L14" s="30" t="n"/>
      <c r="M14" s="30" t="n"/>
      <c r="N14" s="31" t="n"/>
    </row>
    <row r="15" ht="23.85" customHeight="1" s="21">
      <c r="A15" s="32" t="n">
        <v>14</v>
      </c>
      <c r="B15" s="33" t="inlineStr">
        <is>
          <t>CA-RF03-4</t>
        </is>
      </c>
      <c r="C15" s="32" t="inlineStr">
        <is>
          <t>RF-03 Crear reclamo</t>
        </is>
      </c>
      <c r="D15" s="32" t="inlineStr">
        <is>
          <t>2. Ciudadano: crear reclamo</t>
        </is>
      </c>
      <c r="E15" s="32" t="inlineStr">
        <is>
          <t>vecino1@prueba.ojoalbondi</t>
        </is>
      </c>
      <c r="F15" s="32" t="inlineStr">
        <is>
          <t>App</t>
        </is>
      </c>
      <c r="G15" s="32" t="inlineStr">
        <is>
          <t>Elegí cualquier otro motivo y dejé vacío interno o patente</t>
        </is>
      </c>
      <c r="H15" s="32" t="inlineStr">
        <is>
          <t>Toco "Enviar reporte"</t>
        </is>
      </c>
      <c r="I15" s="32" t="inlineStr">
        <is>
          <t>El reclamo no se envía y se indica que el campo es obligatorio</t>
        </is>
      </c>
      <c r="J15" s="32" t="n"/>
      <c r="K15" s="30" t="n"/>
      <c r="L15" s="30" t="n"/>
      <c r="M15" s="30" t="n"/>
      <c r="N15" s="31" t="n"/>
    </row>
    <row r="16" ht="23.85" customHeight="1" s="21">
      <c r="A16" s="28" t="n">
        <v>15</v>
      </c>
      <c r="B16" s="29" t="inlineStr">
        <is>
          <t>CA-RF03-5</t>
        </is>
      </c>
      <c r="C16" s="28" t="inlineStr">
        <is>
          <t>RF-03 Crear reclamo</t>
        </is>
      </c>
      <c r="D16" s="28" t="inlineStr">
        <is>
          <t>2. Ciudadano: crear reclamo</t>
        </is>
      </c>
      <c r="E16" s="28" t="inlineStr">
        <is>
          <t>vecino1@prueba.ojoalbondi</t>
        </is>
      </c>
      <c r="F16" s="28" t="inlineStr">
        <is>
          <t>App</t>
        </is>
      </c>
      <c r="G16" s="28" t="inlineStr">
        <is>
          <t>Elegí el motivo "Hice señas y el colectivo no frenó"</t>
        </is>
      </c>
      <c r="H16" s="28" t="inlineStr">
        <is>
          <t>Miro el campo interno o patente</t>
        </is>
      </c>
      <c r="I16" s="28" t="inlineStr">
        <is>
          <t>Veo la ayuda general y la ayuda adicional sobre mirar el número en la parte de atrás</t>
        </is>
      </c>
      <c r="J16" s="28" t="n"/>
      <c r="K16" s="30" t="n"/>
      <c r="L16" s="30" t="n"/>
      <c r="M16" s="30" t="n"/>
      <c r="N16" s="31" t="n"/>
    </row>
    <row r="17" ht="15" customHeight="1" s="21">
      <c r="A17" s="32" t="n">
        <v>16</v>
      </c>
      <c r="B17" s="33" t="inlineStr">
        <is>
          <t>CA-RF03-6</t>
        </is>
      </c>
      <c r="C17" s="32" t="inlineStr">
        <is>
          <t>RF-03 Crear reclamo</t>
        </is>
      </c>
      <c r="D17" s="32" t="inlineStr">
        <is>
          <t>2. Ciudadano: crear reclamo</t>
        </is>
      </c>
      <c r="E17" s="32" t="inlineStr">
        <is>
          <t>vecino1@prueba.ojoalbondi</t>
        </is>
      </c>
      <c r="F17" s="32" t="inlineStr">
        <is>
          <t>App</t>
        </is>
      </c>
      <c r="G17" s="32" t="inlineStr">
        <is>
          <t>Elegí una línea</t>
        </is>
      </c>
      <c r="H17" s="32" t="inlineStr">
        <is>
          <t>Abro el campo Sentido</t>
        </is>
      </c>
      <c r="I17" s="32" t="inlineStr">
        <is>
          <t>Solo veo los destinos de esa línea</t>
        </is>
      </c>
      <c r="J17" s="32" t="n"/>
      <c r="K17" s="30" t="n"/>
      <c r="L17" s="30" t="n"/>
      <c r="M17" s="30" t="n"/>
      <c r="N17" s="31" t="n"/>
    </row>
    <row r="18" ht="35.05" customHeight="1" s="21">
      <c r="A18" s="28" t="n">
        <v>17</v>
      </c>
      <c r="B18" s="29" t="inlineStr">
        <is>
          <t>CA-RF03-7</t>
        </is>
      </c>
      <c r="C18" s="28" t="inlineStr">
        <is>
          <t>RF-03 Crear reclamo</t>
        </is>
      </c>
      <c r="D18" s="28" t="inlineStr">
        <is>
          <t>2. Ciudadano: crear reclamo</t>
        </is>
      </c>
      <c r="E18" s="28" t="inlineStr">
        <is>
          <t>vecino1@prueba.ojoalbondi</t>
        </is>
      </c>
      <c r="F18" s="28" t="inlineStr">
        <is>
          <t>App</t>
        </is>
      </c>
      <c r="G18" s="28" t="inlineStr">
        <is>
          <t>La fecha del hecho es hoy</t>
        </is>
      </c>
      <c r="H18" s="28" t="inlineStr">
        <is>
          <t>Elijo una hora posterior a la actual y envío</t>
        </is>
      </c>
      <c r="I18" s="28" t="inlineStr">
        <is>
          <t>El reclamo no se envía y se indica que el horario no puede ser posterior a la hora actual</t>
        </is>
      </c>
      <c r="J18" s="28" t="n"/>
      <c r="K18" s="30" t="n"/>
      <c r="L18" s="30" t="n"/>
      <c r="M18" s="30" t="n"/>
      <c r="N18" s="31" t="n"/>
    </row>
    <row r="19" ht="35.05" customHeight="1" s="21">
      <c r="A19" s="32" t="n">
        <v>18</v>
      </c>
      <c r="B19" s="33" t="inlineStr">
        <is>
          <t>CA-RF03-8</t>
        </is>
      </c>
      <c r="C19" s="32" t="inlineStr">
        <is>
          <t>RF-03 Crear reclamo</t>
        </is>
      </c>
      <c r="D19" s="32" t="inlineStr">
        <is>
          <t>2. Ciudadano: crear reclamo</t>
        </is>
      </c>
      <c r="E19" s="32" t="inlineStr">
        <is>
          <t>vecino1@prueba.ojoalbondi</t>
        </is>
      </c>
      <c r="F19" s="32" t="inlineStr">
        <is>
          <t>App</t>
        </is>
      </c>
      <c r="G19" s="32" t="inlineStr">
        <is>
          <t>Abrí el mapa de paradas</t>
        </is>
      </c>
      <c r="H19" s="32" t="inlineStr">
        <is>
          <t>Busco una calle y altura, toco una parada y confirmo</t>
        </is>
      </c>
      <c r="I19" s="32" t="inlineStr">
        <is>
          <t>El mapa se centra en la dirección y el campo Ubicación queda con "Parada &lt;nombre&gt;" y un mapa chico de la parada</t>
        </is>
      </c>
      <c r="J19" s="32" t="n"/>
      <c r="K19" s="30" t="n"/>
      <c r="L19" s="30" t="n"/>
      <c r="M19" s="30" t="n"/>
      <c r="N19" s="31" t="n"/>
    </row>
    <row r="20" ht="35.05" customHeight="1" s="21">
      <c r="A20" s="28" t="n">
        <v>19</v>
      </c>
      <c r="B20" s="29" t="inlineStr">
        <is>
          <t>CA-RF04-1</t>
        </is>
      </c>
      <c r="C20" s="28" t="inlineStr">
        <is>
          <t>RF-04 Confirmación</t>
        </is>
      </c>
      <c r="D20" s="28" t="inlineStr">
        <is>
          <t>2. Ciudadano: crear reclamo</t>
        </is>
      </c>
      <c r="E20" s="28" t="inlineStr">
        <is>
          <t>vecino1@prueba.ojoalbondi</t>
        </is>
      </c>
      <c r="F20" s="28" t="inlineStr">
        <is>
          <t>App</t>
        </is>
      </c>
      <c r="G20" s="28" t="inlineStr">
        <is>
          <t>Envié un reclamo con conexión</t>
        </is>
      </c>
      <c r="H20" s="28" t="inlineStr">
        <is>
          <t>Llego a Confirmación</t>
        </is>
      </c>
      <c r="I20" s="28" t="inlineStr">
        <is>
          <t>Veo un ticket OB-AAAA-NNNN que no se repite, el resumen del reclamo y el estado Recibido</t>
        </is>
      </c>
      <c r="J20" s="28" t="n"/>
      <c r="K20" s="30" t="n"/>
      <c r="L20" s="30" t="n"/>
      <c r="M20" s="30" t="n"/>
      <c r="N20" s="31" t="n"/>
    </row>
    <row r="21" ht="15" customHeight="1" s="21">
      <c r="A21" s="32" t="n">
        <v>20</v>
      </c>
      <c r="B21" s="33" t="inlineStr">
        <is>
          <t>CA-RF04-2</t>
        </is>
      </c>
      <c r="C21" s="32" t="inlineStr">
        <is>
          <t>RF-04 Confirmación</t>
        </is>
      </c>
      <c r="D21" s="32" t="inlineStr">
        <is>
          <t>2. Ciudadano: crear reclamo</t>
        </is>
      </c>
      <c r="E21" s="32" t="inlineStr">
        <is>
          <t>vecino1@prueba.ojoalbondi</t>
        </is>
      </c>
      <c r="F21" s="32" t="inlineStr">
        <is>
          <t>App</t>
        </is>
      </c>
      <c r="G21" s="32" t="inlineStr">
        <is>
          <t>Estoy en Confirmación</t>
        </is>
      </c>
      <c r="H21" s="32" t="inlineStr">
        <is>
          <t>Toco "Ver mis reportes"</t>
        </is>
      </c>
      <c r="I21" s="32" t="inlineStr">
        <is>
          <t>Veo el reclamo nuevo primero en la lista</t>
        </is>
      </c>
      <c r="J21" s="32" t="n"/>
      <c r="K21" s="30" t="n"/>
      <c r="L21" s="30" t="n"/>
      <c r="M21" s="30" t="n"/>
      <c r="N21" s="31" t="n"/>
    </row>
    <row r="22" ht="23.85" customHeight="1" s="21">
      <c r="A22" s="28" t="n">
        <v>21</v>
      </c>
      <c r="B22" s="29" t="inlineStr">
        <is>
          <t>CA-RF05-1</t>
        </is>
      </c>
      <c r="C22" s="28" t="inlineStr">
        <is>
          <t>RF-05 Inicio y Mis reportes</t>
        </is>
      </c>
      <c r="D22" s="28" t="inlineStr">
        <is>
          <t>3. Ciudadano: inicio, mis reportes y ajustes</t>
        </is>
      </c>
      <c r="E22" s="28" t="inlineStr">
        <is>
          <t>vecino1@prueba.ojoalbondi</t>
        </is>
      </c>
      <c r="F22" s="28" t="inlineStr">
        <is>
          <t>App</t>
        </is>
      </c>
      <c r="G22" s="28" t="inlineStr">
        <is>
          <t>Tengo reclamos registrados</t>
        </is>
      </c>
      <c r="H22" s="28" t="inlineStr">
        <is>
          <t>Entro a Reportar</t>
        </is>
      </c>
      <c r="I22" s="28" t="inlineStr">
        <is>
          <t>Veo el saludo con mi nombre y mis 3 últimos reclamos</t>
        </is>
      </c>
      <c r="J22" s="28" t="n"/>
      <c r="K22" s="30" t="n"/>
      <c r="L22" s="30" t="n"/>
      <c r="M22" s="30" t="n"/>
      <c r="N22" s="31" t="n"/>
    </row>
    <row r="23" ht="35.05" customHeight="1" s="21">
      <c r="A23" s="32" t="n">
        <v>22</v>
      </c>
      <c r="B23" s="33" t="inlineStr">
        <is>
          <t>CA-RF05-2</t>
        </is>
      </c>
      <c r="C23" s="32" t="inlineStr">
        <is>
          <t>RF-05 Inicio y Mis reportes</t>
        </is>
      </c>
      <c r="D23" s="32" t="inlineStr">
        <is>
          <t>3. Ciudadano: inicio, mis reportes y ajustes</t>
        </is>
      </c>
      <c r="E23" s="32" t="inlineStr">
        <is>
          <t>vecino1@prueba.ojoalbondi</t>
        </is>
      </c>
      <c r="F23" s="32" t="inlineStr">
        <is>
          <t>App</t>
        </is>
      </c>
      <c r="G23" s="32" t="inlineStr">
        <is>
          <t>Tengo reclamos registrados</t>
        </is>
      </c>
      <c r="H23" s="32" t="inlineStr">
        <is>
          <t>Entro a Mis reportes</t>
        </is>
      </c>
      <c r="I23" s="32" t="inlineStr">
        <is>
          <t>Veo todos mis reclamos, los más recientes primero, con su estado, y ninguno de otros usuarios</t>
        </is>
      </c>
      <c r="J23" s="32" t="n"/>
      <c r="K23" s="30" t="n"/>
      <c r="L23" s="30" t="n"/>
      <c r="M23" s="30" t="n"/>
      <c r="N23" s="31" t="n"/>
    </row>
    <row r="24" ht="23.85" customHeight="1" s="21">
      <c r="A24" s="28" t="n">
        <v>23</v>
      </c>
      <c r="B24" s="29" t="inlineStr">
        <is>
          <t>CA-RF05-3</t>
        </is>
      </c>
      <c r="C24" s="28" t="inlineStr">
        <is>
          <t>RF-05 Inicio y Mis reportes</t>
        </is>
      </c>
      <c r="D24" s="28" t="inlineStr">
        <is>
          <t>3. Ciudadano: inicio, mis reportes y ajustes</t>
        </is>
      </c>
      <c r="E24" s="28" t="inlineStr">
        <is>
          <t>La cuenta creada en CA-RF01-1 (sin reclamos)</t>
        </is>
      </c>
      <c r="F24" s="28" t="inlineStr">
        <is>
          <t>App</t>
        </is>
      </c>
      <c r="G24" s="28" t="inlineStr">
        <is>
          <t>No hice ningún reclamo</t>
        </is>
      </c>
      <c r="H24" s="28" t="inlineStr">
        <is>
          <t>Entro a Mis reportes</t>
        </is>
      </c>
      <c r="I24" s="28" t="inlineStr">
        <is>
          <t>Veo el mensaje de que todavía no hice ninguno</t>
        </is>
      </c>
      <c r="J24" s="28" t="n"/>
      <c r="K24" s="30" t="inlineStr">
        <is>
          <t>Pasa</t>
        </is>
      </c>
      <c r="L24" s="30" t="inlineStr">
        <is>
          <t>Probado 12/10/2026 en la beta con ojoalbondi.app@gmail.com, cuenta nueva sin reclamos: Mis reportes muestra "Todavía no hiciste ningún reporte. Tocá "Reportar" abajo para crear el primero." (Reportar también muestra "Todavía no hiciste ningún reporte.").</t>
        </is>
      </c>
      <c r="M24" s="30" t="inlineStr">
        <is>
          <t>Claude (automatizado)</t>
        </is>
      </c>
      <c r="N24" s="31" t="n">
        <v>46307</v>
      </c>
    </row>
    <row r="25" ht="23.85" customHeight="1" s="21">
      <c r="A25" s="32" t="n">
        <v>24</v>
      </c>
      <c r="B25" s="33" t="inlineStr">
        <is>
          <t>CA-RF06-1</t>
        </is>
      </c>
      <c r="C25" s="32" t="inlineStr">
        <is>
          <t>RF-06 Ajustes</t>
        </is>
      </c>
      <c r="D25" s="32" t="inlineStr">
        <is>
          <t>3. Ciudadano: inicio, mis reportes y ajustes</t>
        </is>
      </c>
      <c r="E25" s="32" t="inlineStr">
        <is>
          <t>vecino1@prueba.ojoalbondi</t>
        </is>
      </c>
      <c r="F25" s="32" t="inlineStr">
        <is>
          <t>App</t>
        </is>
      </c>
      <c r="G25" s="32" t="inlineStr">
        <is>
          <t>Estoy en Ajustes</t>
        </is>
      </c>
      <c r="H25" s="32" t="inlineStr">
        <is>
          <t>Elijo el tema Oscuro</t>
        </is>
      </c>
      <c r="I25" s="32" t="inlineStr">
        <is>
          <t>La app cambia a oscuro y lo mantiene al volver a abrirla</t>
        </is>
      </c>
      <c r="J25" s="32" t="n"/>
      <c r="K25" s="30" t="inlineStr">
        <is>
          <t>Pasa</t>
        </is>
      </c>
      <c r="L25" s="30" t="inlineStr">
        <is>
          <t>Elegí Oscuro: toda la app cambió a oscuro. Cerré Expo Go del todo y al reabrir siguió en oscuro. Al final la dejé en Claro.</t>
        </is>
      </c>
      <c r="M25" s="30" t="inlineStr">
        <is>
          <t>Claude en VS Code, emulador</t>
        </is>
      </c>
      <c r="N25" s="31" t="n">
        <v>46306</v>
      </c>
    </row>
    <row r="26" ht="23.85" customHeight="1" s="21">
      <c r="A26" s="28" t="n">
        <v>25</v>
      </c>
      <c r="B26" s="29" t="inlineStr">
        <is>
          <t>CA-RF06-2</t>
        </is>
      </c>
      <c r="C26" s="28" t="inlineStr">
        <is>
          <t>RF-06 Ajustes</t>
        </is>
      </c>
      <c r="D26" s="28" t="inlineStr">
        <is>
          <t>3. Ciudadano: inicio, mis reportes y ajustes</t>
        </is>
      </c>
      <c r="E26" s="28" t="inlineStr">
        <is>
          <t>vecino1@prueba.ojoalbondi</t>
        </is>
      </c>
      <c r="F26" s="28" t="inlineStr">
        <is>
          <t>App</t>
        </is>
      </c>
      <c r="G26" s="28" t="inlineStr">
        <is>
          <t>Estoy en Ajustes</t>
        </is>
      </c>
      <c r="H26" s="28" t="inlineStr">
        <is>
          <t>Toco "Términos y condiciones"</t>
        </is>
      </c>
      <c r="I26" s="28" t="inlineStr">
        <is>
          <t>Se abre el texto de términos y lo puedo cerrar</t>
        </is>
      </c>
      <c r="J26" s="28" t="n"/>
      <c r="K26" s="30" t="inlineStr">
        <is>
          <t>Pasa</t>
        </is>
      </c>
      <c r="L26" s="30" t="inlineStr">
        <is>
          <t>Se abre una hoja con el texto de términos y el botón "Cerrar", que la cierra y vuelve a Ajustes.</t>
        </is>
      </c>
      <c r="M26" s="30" t="inlineStr">
        <is>
          <t>Claude en VS Code, emulador</t>
        </is>
      </c>
      <c r="N26" s="31" t="n">
        <v>46306</v>
      </c>
    </row>
    <row r="27" ht="23.85" customHeight="1" s="21">
      <c r="A27" s="32" t="n">
        <v>26</v>
      </c>
      <c r="B27" s="33" t="inlineStr">
        <is>
          <t>CA-RF06-3</t>
        </is>
      </c>
      <c r="C27" s="32" t="inlineStr">
        <is>
          <t>RF-06 Ajustes</t>
        </is>
      </c>
      <c r="D27" s="32" t="inlineStr">
        <is>
          <t>3. Ciudadano: inicio, mis reportes y ajustes</t>
        </is>
      </c>
      <c r="E27" s="32" t="inlineStr">
        <is>
          <t>vecino1@prueba.ojoalbondi</t>
        </is>
      </c>
      <c r="F27" s="32" t="inlineStr">
        <is>
          <t>App</t>
        </is>
      </c>
      <c r="G27" s="32" t="inlineStr">
        <is>
          <t>Estoy en Ajustes</t>
        </is>
      </c>
      <c r="H27" s="32" t="inlineStr">
        <is>
          <t>Toco "Probar" en Ubicación</t>
        </is>
      </c>
      <c r="I27" s="32" t="inlineStr">
        <is>
          <t>La app pide el permiso de ubicación y muestra si fue otorgado o denegado</t>
        </is>
      </c>
      <c r="J27" s="32" t="n"/>
      <c r="K27" s="30" t="inlineStr">
        <is>
          <t>Pasa</t>
        </is>
      </c>
      <c r="L27" s="30" t="inlineStr">
        <is>
          <t>Probar abrió el diálogo de permiso de Android. Con "Don't allow" mostró "❌ Permiso denegado: revisalo en la configuración del celular."; al tocar Probar de nuevo y elegir "While using the app" mostró "✅ Permiso otorgado." (el permiso de ubicación de Expo Go quedó otorgado).</t>
        </is>
      </c>
      <c r="M27" s="30" t="inlineStr">
        <is>
          <t>Claude en VS Code, emulador</t>
        </is>
      </c>
      <c r="N27" s="31" t="n">
        <v>46306</v>
      </c>
    </row>
    <row r="28" ht="23.85" customHeight="1" s="21">
      <c r="A28" s="28" t="n">
        <v>27</v>
      </c>
      <c r="B28" s="29" t="inlineStr">
        <is>
          <t>CA-RF07-1</t>
        </is>
      </c>
      <c r="C28" s="28" t="inlineStr">
        <is>
          <t>RF-07 Modo sin conexión</t>
        </is>
      </c>
      <c r="D28" s="28" t="inlineStr">
        <is>
          <t>4. Ciudadano: sin conexión</t>
        </is>
      </c>
      <c r="E28" s="28" t="inlineStr">
        <is>
          <t>vecino1@prueba.ojoalbondi</t>
        </is>
      </c>
      <c r="F28" s="28" t="inlineStr">
        <is>
          <t>App</t>
        </is>
      </c>
      <c r="G28" s="28" t="inlineStr">
        <is>
          <t>El celular no tiene conexión</t>
        </is>
      </c>
      <c r="H28" s="28" t="inlineStr">
        <is>
          <t>Envío un reclamo completo</t>
        </is>
      </c>
      <c r="I28" s="28" t="inlineStr">
        <is>
          <t>Se guarda como borrador y veo "Guardado como borrador"</t>
        </is>
      </c>
      <c r="J28" s="28" t="inlineStr">
        <is>
          <t>Activar el modo avión para simular la falta de señal.</t>
        </is>
      </c>
      <c r="K28" s="30" t="n"/>
      <c r="L28" s="30" t="n"/>
      <c r="M28" s="30" t="n"/>
      <c r="N28" s="31" t="n"/>
    </row>
    <row r="29" ht="23.85" customHeight="1" s="21">
      <c r="A29" s="32" t="n">
        <v>28</v>
      </c>
      <c r="B29" s="33" t="inlineStr">
        <is>
          <t>CA-RF07-2</t>
        </is>
      </c>
      <c r="C29" s="32" t="inlineStr">
        <is>
          <t>RF-07 Modo sin conexión</t>
        </is>
      </c>
      <c r="D29" s="32" t="inlineStr">
        <is>
          <t>4. Ciudadano: sin conexión</t>
        </is>
      </c>
      <c r="E29" s="32" t="inlineStr">
        <is>
          <t>vecino1@prueba.ojoalbondi</t>
        </is>
      </c>
      <c r="F29" s="32" t="inlineStr">
        <is>
          <t>App</t>
        </is>
      </c>
      <c r="G29" s="32" t="inlineStr">
        <is>
          <t>Tengo borradores guardados</t>
        </is>
      </c>
      <c r="H29" s="32" t="inlineStr">
        <is>
          <t>Vuelve la conexión</t>
        </is>
      </c>
      <c r="I29" s="32" t="inlineStr">
        <is>
          <t>Los borradores se envían solos, reciben ticket y aparecen en Mis reportes</t>
        </is>
      </c>
      <c r="J29" s="32" t="inlineStr">
        <is>
          <t>Activar el modo avión para simular la falta de señal.</t>
        </is>
      </c>
      <c r="K29" s="30" t="n"/>
      <c r="L29" s="30" t="n"/>
      <c r="M29" s="30" t="n"/>
      <c r="N29" s="31" t="n"/>
    </row>
    <row r="30" ht="23.85" customHeight="1" s="21">
      <c r="A30" s="28" t="n">
        <v>29</v>
      </c>
      <c r="B30" s="29" t="inlineStr">
        <is>
          <t>CA-RF10-1</t>
        </is>
      </c>
      <c r="C30" s="28" t="inlineStr">
        <is>
          <t>RF-10 Acceso por rol</t>
        </is>
      </c>
      <c r="D30" s="28" t="inlineStr">
        <is>
          <t>5. Institución: acceso y bandeja</t>
        </is>
      </c>
      <c r="E30" s="28" t="inlineStr">
        <is>
          <t>tratado@prueba.ojoalbondi</t>
        </is>
      </c>
      <c r="F30" s="28" t="inlineStr">
        <is>
          <t>App</t>
        </is>
      </c>
      <c r="G30" s="28" t="inlineStr">
        <is>
          <t>Tengo una cuenta de empresa o municipio</t>
        </is>
      </c>
      <c r="H30" s="28" t="inlineStr">
        <is>
          <t>Inicio sesión</t>
        </is>
      </c>
      <c r="I30" s="28" t="inlineStr">
        <is>
          <t>Entro a la Bandeja de mi organización</t>
        </is>
      </c>
      <c r="J30" s="28" t="n"/>
      <c r="K30" s="30" t="n"/>
      <c r="L30" s="30" t="n"/>
      <c r="M30" s="30" t="n"/>
      <c r="N30" s="31" t="n"/>
    </row>
    <row r="31" ht="23.85" customHeight="1" s="21">
      <c r="A31" s="32" t="n">
        <v>30</v>
      </c>
      <c r="B31" s="33" t="inlineStr">
        <is>
          <t>CA-RF10-2</t>
        </is>
      </c>
      <c r="C31" s="32" t="inlineStr">
        <is>
          <t>RF-10 Acceso por rol</t>
        </is>
      </c>
      <c r="D31" s="32" t="inlineStr">
        <is>
          <t>5. Institución: acceso y bandeja</t>
        </is>
      </c>
      <c r="E31" s="32" t="inlineStr">
        <is>
          <t>vecino1@prueba.ojoalbondi</t>
        </is>
      </c>
      <c r="F31" s="32" t="inlineStr">
        <is>
          <t>App</t>
        </is>
      </c>
      <c r="G31" s="32" t="inlineStr">
        <is>
          <t>Tengo una cuenta de ciudadano</t>
        </is>
      </c>
      <c r="H31" s="32" t="inlineStr">
        <is>
          <t>Navego por toda la app</t>
        </is>
      </c>
      <c r="I31" s="32" t="inlineStr">
        <is>
          <t>No veo la Bandeja ni ninguna opción para cambiar estados</t>
        </is>
      </c>
      <c r="J31" s="32" t="n"/>
      <c r="K31" s="30" t="n"/>
      <c r="L31" s="30" t="n"/>
      <c r="M31" s="30" t="n"/>
      <c r="N31" s="31" t="n"/>
    </row>
    <row r="32" ht="35.05" customHeight="1" s="21">
      <c r="A32" s="28" t="n">
        <v>31</v>
      </c>
      <c r="B32" s="29" t="inlineStr">
        <is>
          <t>CA-RF11-1</t>
        </is>
      </c>
      <c r="C32" s="28" t="inlineStr">
        <is>
          <t>RF-11 Bandeja de reclamos</t>
        </is>
      </c>
      <c r="D32" s="28" t="inlineStr">
        <is>
          <t>5. Institución: acceso y bandeja</t>
        </is>
      </c>
      <c r="E32" s="28" t="inlineStr">
        <is>
          <t>tratado@prueba.ojoalbondi</t>
        </is>
      </c>
      <c r="F32" s="28" t="inlineStr">
        <is>
          <t>App</t>
        </is>
      </c>
      <c r="G32" s="28" t="inlineStr">
        <is>
          <t>Soy operador de una empresa</t>
        </is>
      </c>
      <c r="H32" s="28" t="inlineStr">
        <is>
          <t>Abro la Bandeja</t>
        </is>
      </c>
      <c r="I32" s="28" t="inlineStr">
        <is>
          <t>Veo solo los reclamos de mis líneas, los más recientes primero, con ticket, línea, motivo, fecha, estado y antigüedad</t>
        </is>
      </c>
      <c r="J32" s="28" t="n"/>
      <c r="K32" s="30" t="n"/>
      <c r="L32" s="30" t="n"/>
      <c r="M32" s="30" t="n"/>
      <c r="N32" s="31" t="n"/>
    </row>
    <row r="33" ht="35.05" customHeight="1" s="21">
      <c r="A33" s="32" t="n">
        <v>32</v>
      </c>
      <c r="B33" s="33" t="inlineStr">
        <is>
          <t>CA-RF11-2</t>
        </is>
      </c>
      <c r="C33" s="32" t="inlineStr">
        <is>
          <t>RF-11 Bandeja de reclamos</t>
        </is>
      </c>
      <c r="D33" s="32" t="inlineStr">
        <is>
          <t>5. Institución: acceso y bandeja</t>
        </is>
      </c>
      <c r="E33" s="32" t="inlineStr">
        <is>
          <t>tratado@prueba.ojoalbondi</t>
        </is>
      </c>
      <c r="F33" s="32" t="inlineStr">
        <is>
          <t>App</t>
        </is>
      </c>
      <c r="G33" s="32" t="inlineStr">
        <is>
          <t>Hay un reclamo Recibido o En revisión con más de 7 días</t>
        </is>
      </c>
      <c r="H33" s="32" t="inlineStr">
        <is>
          <t>Abro la Bandeja</t>
        </is>
      </c>
      <c r="I33" s="32" t="inlineStr">
        <is>
          <t>Ese reclamo aparece resaltado. Uno Atendido o Anulado con la misma antigüedad no se resalta</t>
        </is>
      </c>
      <c r="J33" s="32" t="inlineStr">
        <is>
          <t>Los datos de prueba incluyen reclamos de hasta 45 días.</t>
        </is>
      </c>
      <c r="K33" s="30" t="n"/>
      <c r="L33" s="30" t="n"/>
      <c r="M33" s="30" t="n"/>
      <c r="N33" s="31" t="n"/>
    </row>
    <row r="34" ht="35.05" customHeight="1" s="21">
      <c r="A34" s="28" t="n">
        <v>33</v>
      </c>
      <c r="B34" s="29" t="inlineStr">
        <is>
          <t>CA-RF11-3</t>
        </is>
      </c>
      <c r="C34" s="28" t="inlineStr">
        <is>
          <t>RF-11 Bandeja de reclamos</t>
        </is>
      </c>
      <c r="D34" s="28" t="inlineStr">
        <is>
          <t>5. Institución: acceso y bandeja</t>
        </is>
      </c>
      <c r="E34" s="28" t="inlineStr">
        <is>
          <t>Empresa sin suscripción activa</t>
        </is>
      </c>
      <c r="F34" s="28" t="inlineStr">
        <is>
          <t>App</t>
        </is>
      </c>
      <c r="G34" s="28" t="inlineStr">
        <is>
          <t>No hay reclamos asignados</t>
        </is>
      </c>
      <c r="H34" s="28" t="inlineStr">
        <is>
          <t>Abro la Bandeja</t>
        </is>
      </c>
      <c r="I34" s="28" t="inlineStr">
        <is>
          <t>Veo un mensaje de que no hay reclamos</t>
        </is>
      </c>
      <c r="J34" s="28" t="inlineStr">
        <is>
          <t>Hacerlo durante CA-RF25-5, con la suscripción de Tratado del Pilar suspendida, o crear una cuenta de empresa sin suscripción.</t>
        </is>
      </c>
      <c r="K34" s="30" t="n"/>
      <c r="L34" s="30" t="inlineStr">
        <is>
          <t>En la beta: usar rutabus@prueba.ojoalbondi (la 511 está pendiente), antes de CA-RNF10-2.</t>
        </is>
      </c>
      <c r="M34" s="30" t="n"/>
      <c r="N34" s="31" t="n"/>
    </row>
    <row r="35" ht="35.05" customHeight="1" s="21">
      <c r="A35" s="32" t="n">
        <v>34</v>
      </c>
      <c r="B35" s="33" t="inlineStr">
        <is>
          <t>CA-RF13-1</t>
        </is>
      </c>
      <c r="C35" s="32" t="inlineStr">
        <is>
          <t>RF-13 Detalle del reclamo</t>
        </is>
      </c>
      <c r="D35" s="32" t="inlineStr">
        <is>
          <t>6. Institución: detalle, estado y seguimiento</t>
        </is>
      </c>
      <c r="E35" s="32" t="inlineStr">
        <is>
          <t>tratado@prueba.ojoalbondi</t>
        </is>
      </c>
      <c r="F35" s="32" t="inlineStr">
        <is>
          <t>App</t>
        </is>
      </c>
      <c r="G35" s="32" t="inlineStr">
        <is>
          <t>Estoy en la Bandeja</t>
        </is>
      </c>
      <c r="H35" s="32" t="inlineStr">
        <is>
          <t>Toco un reclamo</t>
        </is>
      </c>
      <c r="I35" s="32" t="inlineStr">
        <is>
          <t>Veo todos sus datos, la parada en el mapa, la foto si tiene, la descripción y el nombre y apellido del ciudadano</t>
        </is>
      </c>
      <c r="J35" s="32" t="n"/>
      <c r="K35" s="30" t="n"/>
      <c r="L35" s="30" t="n"/>
      <c r="M35" s="30" t="n"/>
      <c r="N35" s="31" t="n"/>
    </row>
    <row r="36" ht="23.85" customHeight="1" s="21">
      <c r="A36" s="28" t="n">
        <v>35</v>
      </c>
      <c r="B36" s="29" t="inlineStr">
        <is>
          <t>CA-RF13-2</t>
        </is>
      </c>
      <c r="C36" s="28" t="inlineStr">
        <is>
          <t>RF-13 Detalle del reclamo</t>
        </is>
      </c>
      <c r="D36" s="28" t="inlineStr">
        <is>
          <t>6. Institución: detalle, estado y seguimiento</t>
        </is>
      </c>
      <c r="E36" s="28" t="inlineStr">
        <is>
          <t>tratado@prueba.ojoalbondi</t>
        </is>
      </c>
      <c r="F36" s="28" t="inlineStr">
        <is>
          <t>App</t>
        </is>
      </c>
      <c r="G36" s="28" t="inlineStr">
        <is>
          <t>Estoy en el detalle de un reclamo</t>
        </is>
      </c>
      <c r="H36" s="28" t="inlineStr">
        <is>
          <t>Reviso los datos del ciudadano</t>
        </is>
      </c>
      <c r="I36" s="28" t="inlineStr">
        <is>
          <t>No veo su correo ni su fecha de nacimiento</t>
        </is>
      </c>
      <c r="J36" s="28" t="n"/>
      <c r="K36" s="30" t="n"/>
      <c r="L36" s="30" t="n"/>
      <c r="M36" s="30" t="n"/>
      <c r="N36" s="31" t="n"/>
    </row>
    <row r="37" ht="23.85" customHeight="1" s="21">
      <c r="A37" s="32" t="n">
        <v>36</v>
      </c>
      <c r="B37" s="33" t="inlineStr">
        <is>
          <t>CA-RF14-1</t>
        </is>
      </c>
      <c r="C37" s="32" t="inlineStr">
        <is>
          <t>RF-14 Cambio de estado</t>
        </is>
      </c>
      <c r="D37" s="32" t="inlineStr">
        <is>
          <t>6. Institución: detalle, estado y seguimiento</t>
        </is>
      </c>
      <c r="E37" s="32" t="inlineStr">
        <is>
          <t>tratado@prueba.ojoalbondi</t>
        </is>
      </c>
      <c r="F37" s="32" t="inlineStr">
        <is>
          <t>App</t>
        </is>
      </c>
      <c r="G37" s="32" t="inlineStr">
        <is>
          <t>El reclamo está Recibido</t>
        </is>
      </c>
      <c r="H37" s="32" t="inlineStr">
        <is>
          <t>Abro el detalle</t>
        </is>
      </c>
      <c r="I37" s="32" t="inlineStr">
        <is>
          <t>Solo puedo pasarlo a En revisión o anularlo</t>
        </is>
      </c>
      <c r="J37" s="32" t="n"/>
      <c r="K37" s="30" t="n"/>
      <c r="L37" s="30" t="inlineStr">
        <is>
          <t>Apoyo en la base (11/10/2026): cambiar_estado acepta Recibido → En revisión. Falta mirar la pantalla.</t>
        </is>
      </c>
      <c r="M37" s="30" t="n"/>
      <c r="N37" s="31" t="n"/>
    </row>
    <row r="38" ht="23.85" customHeight="1" s="21">
      <c r="A38" s="28" t="n">
        <v>37</v>
      </c>
      <c r="B38" s="29" t="inlineStr">
        <is>
          <t>CA-RF14-2</t>
        </is>
      </c>
      <c r="C38" s="28" t="inlineStr">
        <is>
          <t>RF-14 Cambio de estado</t>
        </is>
      </c>
      <c r="D38" s="28" t="inlineStr">
        <is>
          <t>6. Institución: detalle, estado y seguimiento</t>
        </is>
      </c>
      <c r="E38" s="28" t="inlineStr">
        <is>
          <t>tratado@prueba.ojoalbondi</t>
        </is>
      </c>
      <c r="F38" s="28" t="inlineStr">
        <is>
          <t>App</t>
        </is>
      </c>
      <c r="G38" s="28" t="inlineStr">
        <is>
          <t>El reclamo está En revisión</t>
        </is>
      </c>
      <c r="H38" s="28" t="inlineStr">
        <is>
          <t>Abro el detalle</t>
        </is>
      </c>
      <c r="I38" s="28" t="inlineStr">
        <is>
          <t>Solo puedo marcarlo como Atendido o anularlo</t>
        </is>
      </c>
      <c r="J38" s="28" t="n"/>
      <c r="K38" s="30" t="n"/>
      <c r="L38" s="30" t="inlineStr">
        <is>
          <t>Apoyo en la base (11/10/2026): rechaza En revisión → Recibido y acepta En revisión → Atendido. Falta mirar la pantalla.</t>
        </is>
      </c>
      <c r="M38" s="30" t="n"/>
      <c r="N38" s="31" t="n"/>
    </row>
    <row r="39" ht="23.85" customHeight="1" s="21">
      <c r="A39" s="32" t="n">
        <v>38</v>
      </c>
      <c r="B39" s="33" t="inlineStr">
        <is>
          <t>CA-RF14-3</t>
        </is>
      </c>
      <c r="C39" s="32" t="inlineStr">
        <is>
          <t>RF-14 Cambio de estado</t>
        </is>
      </c>
      <c r="D39" s="32" t="inlineStr">
        <is>
          <t>6. Institución: detalle, estado y seguimiento</t>
        </is>
      </c>
      <c r="E39" s="32" t="inlineStr">
        <is>
          <t>tratado@prueba.ojoalbondi</t>
        </is>
      </c>
      <c r="F39" s="32" t="inlineStr">
        <is>
          <t>App</t>
        </is>
      </c>
      <c r="G39" s="32" t="inlineStr">
        <is>
          <t>El reclamo está Atendido o Anulado</t>
        </is>
      </c>
      <c r="H39" s="32" t="inlineStr">
        <is>
          <t>Abro el detalle</t>
        </is>
      </c>
      <c r="I39" s="32" t="inlineStr">
        <is>
          <t>No hay opciones para cambiar el estado</t>
        </is>
      </c>
      <c r="J39" s="32" t="n"/>
      <c r="K39" s="30" t="n"/>
      <c r="L39" s="30" t="inlineStr">
        <is>
          <t>Apoyo en la base (11/10/2026): rechaza Atendido → Anulado. Falta mirar la pantalla.</t>
        </is>
      </c>
      <c r="M39" s="30" t="n"/>
      <c r="N39" s="31" t="n"/>
    </row>
    <row r="40" ht="23.85" customHeight="1" s="21">
      <c r="A40" s="28" t="n">
        <v>39</v>
      </c>
      <c r="B40" s="29" t="inlineStr">
        <is>
          <t>CA-RF14-4</t>
        </is>
      </c>
      <c r="C40" s="28" t="inlineStr">
        <is>
          <t>RF-14 Cambio de estado</t>
        </is>
      </c>
      <c r="D40" s="28" t="inlineStr">
        <is>
          <t>6. Institución: detalle, estado y seguimiento</t>
        </is>
      </c>
      <c r="E40" s="28" t="inlineStr">
        <is>
          <t>tratado@prueba.ojoalbondi</t>
        </is>
      </c>
      <c r="F40" s="28" t="inlineStr">
        <is>
          <t>App</t>
        </is>
      </c>
      <c r="G40" s="28" t="inlineStr">
        <is>
          <t>Elegí Anular</t>
        </is>
      </c>
      <c r="H40" s="28" t="inlineStr">
        <is>
          <t>Confirmo sin escribir un motivo</t>
        </is>
      </c>
      <c r="I40" s="28" t="inlineStr">
        <is>
          <t>Se muestra "El motivo de anulación es obligatorio." y el estado no cambia</t>
        </is>
      </c>
      <c r="J40" s="28" t="n"/>
      <c r="K40" s="30" t="n"/>
      <c r="L40" s="30" t="inlineStr">
        <is>
          <t>Apoyo en la base (11/10/2026): anular sin motivo da "El motivo de anulación es obligatorio.". Falta mirar la pantalla.</t>
        </is>
      </c>
      <c r="M40" s="30" t="n"/>
      <c r="N40" s="31" t="n"/>
    </row>
    <row r="41" ht="46.25" customHeight="1" s="21">
      <c r="A41" s="32" t="n">
        <v>40</v>
      </c>
      <c r="B41" s="33" t="inlineStr">
        <is>
          <t>CA-RF14-5</t>
        </is>
      </c>
      <c r="C41" s="32" t="inlineStr">
        <is>
          <t>RF-14 Cambio de estado</t>
        </is>
      </c>
      <c r="D41" s="32" t="inlineStr">
        <is>
          <t>6. Institución: detalle, estado y seguimiento</t>
        </is>
      </c>
      <c r="E41" s="32" t="inlineStr">
        <is>
          <t>tratado@prueba.ojoalbondi</t>
        </is>
      </c>
      <c r="F41" s="32" t="inlineStr">
        <is>
          <t>Base de datos</t>
        </is>
      </c>
      <c r="G41" s="32" t="inlineStr">
        <is>
          <t>Un reclamo está Recibido</t>
        </is>
      </c>
      <c r="H41" s="32" t="inlineStr">
        <is>
          <t>Se intenta pasarlo directo a Atendido, incluso desde fuera de la app</t>
        </is>
      </c>
      <c r="I41" s="32" t="inlineStr">
        <is>
          <t>La base de datos rechaza el cambio</t>
        </is>
      </c>
      <c r="J41" s="32" t="inlineStr">
        <is>
          <t>Como tratado@prueba.ojoalbondi: select cambiar_estado('&lt;id de un reclamo Recibido de la 501&gt;', 'Atendido', 'x');  → error 'Cambio de estado no permitido'</t>
        </is>
      </c>
      <c r="K41" s="30" t="inlineStr">
        <is>
          <t>Pasa</t>
        </is>
      </c>
      <c r="L41" s="30" t="inlineStr">
        <is>
          <t>Como tratado: "Cambio de estado no permitido: Recibido → Atendido". Como vecino1: "No tenés permiso para gestionar este reclamo".</t>
        </is>
      </c>
      <c r="M41" s="30" t="inlineStr">
        <is>
          <t>Claude (SQL en la beta, en nombre de la cuenta del caso)</t>
        </is>
      </c>
      <c r="N41" s="31" t="n">
        <v>46306</v>
      </c>
    </row>
    <row r="42" ht="23.85" customHeight="1" s="21">
      <c r="A42" s="28" t="n">
        <v>41</v>
      </c>
      <c r="B42" s="29" t="inlineStr">
        <is>
          <t>CA-RF15-1</t>
        </is>
      </c>
      <c r="C42" s="28" t="inlineStr">
        <is>
          <t>RF-15 Seguimiento</t>
        </is>
      </c>
      <c r="D42" s="28" t="inlineStr">
        <is>
          <t>6. Institución: detalle, estado y seguimiento</t>
        </is>
      </c>
      <c r="E42" s="28" t="inlineStr">
        <is>
          <t>tratado@prueba.ojoalbondi</t>
        </is>
      </c>
      <c r="F42" s="28" t="inlineStr">
        <is>
          <t>App</t>
        </is>
      </c>
      <c r="G42" s="28" t="inlineStr">
        <is>
          <t>Un reclamo tuvo cambios de estado</t>
        </is>
      </c>
      <c r="H42" s="28" t="inlineStr">
        <is>
          <t>Abro su detalle</t>
        </is>
      </c>
      <c r="I42" s="28" t="inlineStr">
        <is>
          <t>Veo cada cambio en orden, con estado, fecha y hora, organización y comentario</t>
        </is>
      </c>
      <c r="J42" s="28" t="n"/>
      <c r="K42" s="30" t="n"/>
      <c r="L42" s="30" t="n"/>
      <c r="M42" s="30" t="n"/>
      <c r="N42" s="31" t="n"/>
    </row>
    <row r="43" ht="23.85" customHeight="1" s="21">
      <c r="A43" s="32" t="n">
        <v>42</v>
      </c>
      <c r="B43" s="33" t="inlineStr">
        <is>
          <t>CA-RF15-2</t>
        </is>
      </c>
      <c r="C43" s="32" t="inlineStr">
        <is>
          <t>RF-15 Seguimiento</t>
        </is>
      </c>
      <c r="D43" s="32" t="inlineStr">
        <is>
          <t>6. Institución: detalle, estado y seguimiento</t>
        </is>
      </c>
      <c r="E43" s="32" t="inlineStr">
        <is>
          <t>tratado@prueba.ojoalbondi</t>
        </is>
      </c>
      <c r="F43" s="32" t="inlineStr">
        <is>
          <t>App</t>
        </is>
      </c>
      <c r="G43" s="32" t="inlineStr">
        <is>
          <t>Un reclamo recién se creó</t>
        </is>
      </c>
      <c r="H43" s="32" t="inlineStr">
        <is>
          <t>Abro su detalle</t>
        </is>
      </c>
      <c r="I43" s="32" t="inlineStr">
        <is>
          <t>Veo una sola entrada: Recibido, registrada por el Sistema</t>
        </is>
      </c>
      <c r="J43" s="32" t="n"/>
      <c r="K43" s="30" t="n"/>
      <c r="L43" s="30" t="inlineStr">
        <is>
          <t>Apoyo en la base (11/10/2026): un reclamo nuevo tiene una sola entrada, Recibido, registrada por Sistema. Falta mirar la pantalla.</t>
        </is>
      </c>
      <c r="M43" s="30" t="n"/>
      <c r="N43" s="31" t="n"/>
    </row>
    <row r="44" ht="46.25" customHeight="1" s="21">
      <c r="A44" s="28" t="n">
        <v>43</v>
      </c>
      <c r="B44" s="29" t="inlineStr">
        <is>
          <t>CA-RF18-1</t>
        </is>
      </c>
      <c r="C44" s="28" t="inlineStr">
        <is>
          <t>RF-18 Asignación automática</t>
        </is>
      </c>
      <c r="D44" s="28" t="inlineStr">
        <is>
          <t>7. Asignación y suscripciones</t>
        </is>
      </c>
      <c r="E44" s="28" t="inlineStr">
        <is>
          <t>vecino1@prueba.ojoalbondi, luego tratado@prueba.ojoalbondi y pilarbus@prueba.ojoalbondi</t>
        </is>
      </c>
      <c r="F44" s="28" t="inlineStr">
        <is>
          <t>App</t>
        </is>
      </c>
      <c r="G44" s="28" t="inlineStr">
        <is>
          <t>Un ciudadano registra un reclamo de la línea 501 (suscripción activa de Tratado del Pilar)</t>
        </is>
      </c>
      <c r="H44" s="28" t="inlineStr">
        <is>
          <t>Tratado del Pilar y Pilar Bus abren su Bandeja</t>
        </is>
      </c>
      <c r="I44" s="28" t="inlineStr">
        <is>
          <t>El reclamo aparece en la Bandeja de Tratado del Pilar y no en la de Pilar Bus</t>
        </is>
      </c>
      <c r="J44" s="28" t="n"/>
      <c r="K44" s="30" t="n"/>
      <c r="L44" s="30" t="n"/>
      <c r="M44" s="30" t="n"/>
      <c r="N44" s="31" t="n"/>
    </row>
    <row r="45" ht="23.85" customHeight="1" s="21">
      <c r="A45" s="32" t="n">
        <v>44</v>
      </c>
      <c r="B45" s="33" t="inlineStr">
        <is>
          <t>CA-RF18-2</t>
        </is>
      </c>
      <c r="C45" s="32" t="inlineStr">
        <is>
          <t>RF-18 Asignación automática</t>
        </is>
      </c>
      <c r="D45" s="32" t="inlineStr">
        <is>
          <t>7. Asignación y suscripciones</t>
        </is>
      </c>
      <c r="E45" s="32" t="inlineStr">
        <is>
          <t>municipio@prueba.ojoalbondi</t>
        </is>
      </c>
      <c r="F45" s="32" t="inlineStr">
        <is>
          <t>App</t>
        </is>
      </c>
      <c r="G45" s="32" t="inlineStr">
        <is>
          <t>Hay reclamos de líneas de distintas empresas</t>
        </is>
      </c>
      <c r="H45" s="32" t="inlineStr">
        <is>
          <t>El municipio abre su Bandeja</t>
        </is>
      </c>
      <c r="I45" s="32" t="inlineStr">
        <is>
          <t>Ve los reclamos de todas las líneas</t>
        </is>
      </c>
      <c r="J45" s="32" t="n"/>
      <c r="K45" s="30" t="n"/>
      <c r="L45" s="30" t="n"/>
      <c r="M45" s="30" t="n"/>
      <c r="N45" s="31" t="n"/>
    </row>
    <row r="46" ht="35.05" customHeight="1" s="21">
      <c r="A46" s="28" t="n">
        <v>45</v>
      </c>
      <c r="B46" s="29" t="inlineStr">
        <is>
          <t>CA-RF25-1</t>
        </is>
      </c>
      <c r="C46" s="28" t="inlineStr">
        <is>
          <t>RF-25 Suscripción por línea</t>
        </is>
      </c>
      <c r="D46" s="28" t="inlineStr">
        <is>
          <t>7. Asignación y suscripciones</t>
        </is>
      </c>
      <c r="E46" s="28" t="inlineStr">
        <is>
          <t>tratado@prueba.ojoalbondi</t>
        </is>
      </c>
      <c r="F46" s="28" t="inlineStr">
        <is>
          <t>App</t>
        </is>
      </c>
      <c r="G46" s="28" t="inlineStr">
        <is>
          <t>Tratado del Pilar opera las líneas 501 y 503, pero solo tiene suscripción activa para la 501</t>
        </is>
      </c>
      <c r="H46" s="28" t="inlineStr">
        <is>
          <t>Abre su Bandeja</t>
        </is>
      </c>
      <c r="I46" s="28" t="inlineStr">
        <is>
          <t>Ve los reclamos de la 501 y ninguno de la 503</t>
        </is>
      </c>
      <c r="J46" s="28" t="n"/>
      <c r="K46" s="30" t="n"/>
      <c r="L46" s="30" t="inlineStr">
        <is>
          <t>En la beta la 503 tiene suscripción activa de Tratado, así que el caso no se da como está escrito. Equivalente en la beta: rutabus opera la 511 con suscripción pendiente y no ve ningún reclamo de la 511.</t>
        </is>
      </c>
      <c r="M46" s="30" t="n"/>
      <c r="N46" s="31" t="n"/>
    </row>
    <row r="47" ht="23.85" customHeight="1" s="21">
      <c r="A47" s="32" t="n">
        <v>46</v>
      </c>
      <c r="B47" s="33" t="inlineStr">
        <is>
          <t>CA-RF25-2</t>
        </is>
      </c>
      <c r="C47" s="32" t="inlineStr">
        <is>
          <t>RF-25 Suscripción por línea</t>
        </is>
      </c>
      <c r="D47" s="32" t="inlineStr">
        <is>
          <t>7. Asignación y suscripciones</t>
        </is>
      </c>
      <c r="E47" s="32" t="inlineStr">
        <is>
          <t>municipio@prueba.ojoalbondi</t>
        </is>
      </c>
      <c r="F47" s="32" t="inlineStr">
        <is>
          <t>App</t>
        </is>
      </c>
      <c r="G47" s="32" t="inlineStr">
        <is>
          <t>La línea 503 no tiene ninguna suscripción activa</t>
        </is>
      </c>
      <c r="H47" s="32" t="inlineStr">
        <is>
          <t>El municipio abre su Bandeja</t>
        </is>
      </c>
      <c r="I47" s="32" t="inlineStr">
        <is>
          <t>Ve los reclamos de la 503 y los puede gestionar</t>
        </is>
      </c>
      <c r="J47" s="32" t="inlineStr">
        <is>
          <t>La 503 no tiene suscripción en los datos de prueba.</t>
        </is>
      </c>
      <c r="K47" s="30" t="n"/>
      <c r="L47" s="30" t="inlineStr">
        <is>
          <t>En la beta: usar la 520 (sin suscripción) o la 511 (pendiente); el municipio las ve y las gestiona.</t>
        </is>
      </c>
      <c r="M47" s="30" t="n"/>
      <c r="N47" s="31" t="n"/>
    </row>
    <row r="48" ht="46.25" customHeight="1" s="21">
      <c r="A48" s="28" t="n">
        <v>47</v>
      </c>
      <c r="B48" s="29" t="inlineStr">
        <is>
          <t>CA-RF25-3</t>
        </is>
      </c>
      <c r="C48" s="28" t="inlineStr">
        <is>
          <t>RF-25 Suscripción por línea</t>
        </is>
      </c>
      <c r="D48" s="28" t="inlineStr">
        <is>
          <t>7. Asignación y suscripciones</t>
        </is>
      </c>
      <c r="E48" s="28" t="inlineStr">
        <is>
          <t>Administrador (SQL Editor), luego tratado@prueba.ojoalbondi</t>
        </is>
      </c>
      <c r="F48" s="28" t="inlineStr">
        <is>
          <t>Base de datos</t>
        </is>
      </c>
      <c r="G48" s="28" t="inlineStr">
        <is>
          <t>Una línea tiene reclamos registrados antes de la suscripción</t>
        </is>
      </c>
      <c r="H48" s="28" t="inlineStr">
        <is>
          <t>El Administrador activa la suscripción de una empresa para esa línea</t>
        </is>
      </c>
      <c r="I48" s="28" t="inlineStr">
        <is>
          <t>La empresa ve también los reclamos anteriores</t>
        </is>
      </c>
      <c r="J48" s="28" t="inlineStr">
        <is>
          <t>insert into suscripciones (linea, organizacion_id, estado) values ('503', 'tratado', 'activa');  → Tratado del Pilar ve también los reclamos viejos de la 503</t>
        </is>
      </c>
      <c r="K48" s="30" t="inlineStr">
        <is>
          <t>Pasa</t>
        </is>
      </c>
      <c r="L48" s="30" t="inlineStr">
        <is>
          <t>En la beta la 503 ya tiene suscripción activa (datos_prueba_beta.sql); se probó con la 511 (Ruta Bus, pendiente): antes rutabus veía 0; al activarla ve los 10 reclamos de la 511, el más viejo del 01/09/2026. Se deshizo.</t>
        </is>
      </c>
      <c r="M48" s="30" t="inlineStr">
        <is>
          <t>Claude (SQL en la beta, en nombre de la cuenta del caso)</t>
        </is>
      </c>
      <c r="N48" s="31" t="n">
        <v>46306</v>
      </c>
    </row>
    <row r="49" ht="35.05" customHeight="1" s="21">
      <c r="A49" s="32" t="n">
        <v>48</v>
      </c>
      <c r="B49" s="33" t="inlineStr">
        <is>
          <t>CA-RF25-4</t>
        </is>
      </c>
      <c r="C49" s="32" t="inlineStr">
        <is>
          <t>RF-25 Suscripción por línea</t>
        </is>
      </c>
      <c r="D49" s="32" t="inlineStr">
        <is>
          <t>7. Asignación y suscripciones</t>
        </is>
      </c>
      <c r="E49" s="32" t="inlineStr">
        <is>
          <t>Administrador (SQL Editor)</t>
        </is>
      </c>
      <c r="F49" s="32" t="inlineStr">
        <is>
          <t>Base de datos</t>
        </is>
      </c>
      <c r="G49" s="32" t="inlineStr">
        <is>
          <t>Una línea ya tiene una suscripción activa</t>
        </is>
      </c>
      <c r="H49" s="32" t="inlineStr">
        <is>
          <t>Se intenta activar una segunda suscripción para la misma línea</t>
        </is>
      </c>
      <c r="I49" s="32" t="inlineStr">
        <is>
          <t>La base de datos rechaza la operación</t>
        </is>
      </c>
      <c r="J49" s="32" t="inlineStr">
        <is>
          <t>insert into suscripciones (linea, organizacion_id, estado) values ('501', 'pilarbus', 'activa');  → error de clave duplicada (suscripciones_una_activa)</t>
        </is>
      </c>
      <c r="K49" s="30" t="inlineStr">
        <is>
          <t>Pasa</t>
        </is>
      </c>
      <c r="L49" s="30" t="inlineStr">
        <is>
          <t>Error de clave duplicada suscripciones_una_activa.</t>
        </is>
      </c>
      <c r="M49" s="30" t="inlineStr">
        <is>
          <t>Claude (SQL en la beta, en nombre de la cuenta del caso)</t>
        </is>
      </c>
      <c r="N49" s="31" t="n">
        <v>46306</v>
      </c>
    </row>
    <row r="50" ht="46.25" customHeight="1" s="21">
      <c r="A50" s="28" t="n">
        <v>49</v>
      </c>
      <c r="B50" s="29" t="inlineStr">
        <is>
          <t>CA-RF25-5</t>
        </is>
      </c>
      <c r="C50" s="28" t="inlineStr">
        <is>
          <t>RF-25 Suscripción por línea</t>
        </is>
      </c>
      <c r="D50" s="28" t="inlineStr">
        <is>
          <t>7. Asignación y suscripciones</t>
        </is>
      </c>
      <c r="E50" s="28" t="inlineStr">
        <is>
          <t>Administrador (SQL Editor), luego tratado@prueba.ojoalbondi y municipio@prueba.ojoalbondi</t>
        </is>
      </c>
      <c r="F50" s="28" t="inlineStr">
        <is>
          <t>Base de datos</t>
        </is>
      </c>
      <c r="G50" s="28" t="inlineStr">
        <is>
          <t>Una empresa tiene una suscripción activa con reclamos en gestión</t>
        </is>
      </c>
      <c r="H50" s="28" t="inlineStr">
        <is>
          <t>El Administrador la suspende</t>
        </is>
      </c>
      <c r="I50" s="28" t="inlineStr">
        <is>
          <t>La empresa deja de ver esos reclamos; los reclamos y su historial se conservan y el municipio los sigue viendo</t>
        </is>
      </c>
      <c r="J50" s="28" t="inlineStr">
        <is>
          <t>update suscripciones set estado = 'suspendida' where linea = '503' and estado = 'activa';  → Tratado del Pilar deja de ver la 503; el municipio la sigue viendo</t>
        </is>
      </c>
      <c r="K50" s="30" t="inlineStr">
        <is>
          <t>Pasa</t>
        </is>
      </c>
      <c r="L50" s="30" t="inlineStr">
        <is>
          <t>Con la 503 suspendida: tratado ve 0 reclamos de la 503 y el municipio 5; siguen los 5 reclamos y las 8 entradas de historial. Se deshizo (la 503 sigue activa).</t>
        </is>
      </c>
      <c r="M50" s="30" t="inlineStr">
        <is>
          <t>Claude (SQL en la beta, en nombre de la cuenta del caso)</t>
        </is>
      </c>
      <c r="N50" s="31" t="n">
        <v>46306</v>
      </c>
    </row>
    <row r="51" ht="57.45" customHeight="1" s="21">
      <c r="A51" s="32" t="n">
        <v>50</v>
      </c>
      <c r="B51" s="33" t="inlineStr">
        <is>
          <t>CA-RF19-1</t>
        </is>
      </c>
      <c r="C51" s="32" t="inlineStr">
        <is>
          <t>RF-19 Historial inmutable</t>
        </is>
      </c>
      <c r="D51" s="32" t="inlineStr">
        <is>
          <t>8. Seguridad en la base de datos</t>
        </is>
      </c>
      <c r="E51" s="32" t="inlineStr">
        <is>
          <t>tratado@prueba.ojoalbondi, luego Administrador (SQL Editor)</t>
        </is>
      </c>
      <c r="F51" s="32" t="inlineStr">
        <is>
          <t>Base de datos</t>
        </is>
      </c>
      <c r="G51" s="32" t="inlineStr">
        <is>
          <t>Un reclamo tiene entradas en su historial</t>
        </is>
      </c>
      <c r="H51" s="32" t="inlineStr">
        <is>
          <t>Se intenta editar o borrar una entrada, incluso desde fuera de la app</t>
        </is>
      </c>
      <c r="I51" s="32" t="inlineStr">
        <is>
          <t>La base de datos rechaza la operación y el historial queda igual</t>
        </is>
      </c>
      <c r="J51" s="32" t="inlineStr">
        <is>
          <t>Como tratado@prueba.ojoalbondi: update historial_estados set comentario = 'x';  → 0 filas afectadas.  Como administrador: el mismo update → error 'El historial de estados no se puede modificar'</t>
        </is>
      </c>
      <c r="K51" s="30" t="inlineStr">
        <is>
          <t>Pasa</t>
        </is>
      </c>
      <c r="L51" s="30" t="inlineStr">
        <is>
          <t>Como tratado, update y delete: "permission denied for table historial_estados" (el plan esperaba 0 filas: igual se rechaza). Como administrador: "El historial de estados no se puede modificar".</t>
        </is>
      </c>
      <c r="M51" s="30" t="inlineStr">
        <is>
          <t>Claude (SQL en la beta, en nombre de la cuenta del caso)</t>
        </is>
      </c>
      <c r="N51" s="31" t="n">
        <v>46306</v>
      </c>
    </row>
    <row r="52" ht="35.05" customHeight="1" s="21">
      <c r="A52" s="28" t="n">
        <v>51</v>
      </c>
      <c r="B52" s="29" t="inlineStr">
        <is>
          <t>CA-RNF01-1</t>
        </is>
      </c>
      <c r="C52" s="28" t="inlineStr">
        <is>
          <t>RNF-01 Seguridad por rol</t>
        </is>
      </c>
      <c r="D52" s="28" t="inlineStr">
        <is>
          <t>8. Seguridad en la base de datos</t>
        </is>
      </c>
      <c r="E52" s="28" t="inlineStr">
        <is>
          <t>vecino1@prueba.ojoalbondi</t>
        </is>
      </c>
      <c r="F52" s="28" t="inlineStr">
        <is>
          <t>Base de datos</t>
        </is>
      </c>
      <c r="G52" s="28" t="inlineStr">
        <is>
          <t>Soy ciudadano</t>
        </is>
      </c>
      <c r="H52" s="28" t="inlineStr">
        <is>
          <t>Consulto la base de datos pidiendo reclamos de otro usuario</t>
        </is>
      </c>
      <c r="I52" s="28" t="inlineStr">
        <is>
          <t>No obtengo ningún resultado</t>
        </is>
      </c>
      <c r="J52" s="28" t="inlineStr">
        <is>
          <t>Como vecino1@prueba.ojoalbondi: select count(*) from reclamos where ciudadano_id &lt;&gt; auth.uid();  → 0</t>
        </is>
      </c>
      <c r="K52" s="30" t="inlineStr">
        <is>
          <t>Pasa</t>
        </is>
      </c>
      <c r="L52" s="30" t="inlineStr">
        <is>
          <t>0 reclamos ajenos (vecino1 ve sus 21).</t>
        </is>
      </c>
      <c r="M52" s="30" t="inlineStr">
        <is>
          <t>Claude (SQL en la beta, en nombre de la cuenta del caso)</t>
        </is>
      </c>
      <c r="N52" s="31" t="n">
        <v>46306</v>
      </c>
    </row>
    <row r="53" ht="35.05" customHeight="1" s="21">
      <c r="A53" s="32" t="n">
        <v>52</v>
      </c>
      <c r="B53" s="33" t="inlineStr">
        <is>
          <t>CA-RNF01-2</t>
        </is>
      </c>
      <c r="C53" s="32" t="inlineStr">
        <is>
          <t>RNF-01 Seguridad por rol</t>
        </is>
      </c>
      <c r="D53" s="32" t="inlineStr">
        <is>
          <t>8. Seguridad en la base de datos</t>
        </is>
      </c>
      <c r="E53" s="32" t="inlineStr">
        <is>
          <t>tratado@prueba.ojoalbondi</t>
        </is>
      </c>
      <c r="F53" s="32" t="inlineStr">
        <is>
          <t>Base de datos</t>
        </is>
      </c>
      <c r="G53" s="32" t="inlineStr">
        <is>
          <t>Soy operador de Tratado del Pilar</t>
        </is>
      </c>
      <c r="H53" s="32" t="inlineStr">
        <is>
          <t>Consulto la base pidiendo reclamos de la línea 510 (Pilar Bus)</t>
        </is>
      </c>
      <c r="I53" s="32" t="inlineStr">
        <is>
          <t>No obtengo ningún resultado</t>
        </is>
      </c>
      <c r="J53" s="32" t="inlineStr">
        <is>
          <t>Como tratado@prueba.ojoalbondi: select count(*) from reclamos_gestion where linea = '510';  → 0</t>
        </is>
      </c>
      <c r="K53" s="30" t="inlineStr">
        <is>
          <t>Pasa</t>
        </is>
      </c>
      <c r="L53" s="30" t="inlineStr">
        <is>
          <t>0 de la 510. También 0 de la 511 y la 520; pilarbus ve 0 de la 501 y la 503.</t>
        </is>
      </c>
      <c r="M53" s="30" t="inlineStr">
        <is>
          <t>Claude (SQL en la beta, en nombre de la cuenta del caso)</t>
        </is>
      </c>
      <c r="N53" s="31" t="n">
        <v>46306</v>
      </c>
    </row>
    <row r="54" ht="46.25" customHeight="1" s="21">
      <c r="A54" s="28" t="n">
        <v>53</v>
      </c>
      <c r="B54" s="29" t="inlineStr">
        <is>
          <t>CA-RN02-2</t>
        </is>
      </c>
      <c r="C54" s="28" t="inlineStr">
        <is>
          <t>RN-02 Cuentas institucionales</t>
        </is>
      </c>
      <c r="D54" s="28" t="inlineStr">
        <is>
          <t>8. Seguridad en la base de datos</t>
        </is>
      </c>
      <c r="E54" s="28" t="inlineStr">
        <is>
          <t>vecino1@prueba.ojoalbondi</t>
        </is>
      </c>
      <c r="F54" s="28" t="inlineStr">
        <is>
          <t>Base de datos</t>
        </is>
      </c>
      <c r="G54" s="28" t="inlineStr">
        <is>
          <t>Tengo cualquier cuenta</t>
        </is>
      </c>
      <c r="H54" s="28" t="inlineStr">
        <is>
          <t>Intento cambiar mi propio rol, incluso desde fuera de la app</t>
        </is>
      </c>
      <c r="I54" s="28" t="inlineStr">
        <is>
          <t>La base de datos rechaza el cambio</t>
        </is>
      </c>
      <c r="J54" s="28" t="inlineStr">
        <is>
          <t>Como vecino1@prueba.ojoalbondi: update perfiles set rol = 'municipio' where id = auth.uid();  → 0 filas afectadas; el rol sigue siendo 'ciudadano'</t>
        </is>
      </c>
      <c r="K54" s="30" t="inlineStr">
        <is>
          <t>Pasa</t>
        </is>
      </c>
      <c r="L54" s="30" t="inlineStr">
        <is>
          <t>0 filas afectadas; el rol sigue "ciudadano".</t>
        </is>
      </c>
      <c r="M54" s="30" t="inlineStr">
        <is>
          <t>Claude (SQL en la beta, en nombre de la cuenta del caso)</t>
        </is>
      </c>
      <c r="N54" s="31" t="n">
        <v>46306</v>
      </c>
    </row>
    <row r="55" ht="35.05" customHeight="1" s="21">
      <c r="A55" s="32" t="n">
        <v>54</v>
      </c>
      <c r="B55" s="33" t="inlineStr">
        <is>
          <t>CA-RN02-3</t>
        </is>
      </c>
      <c r="C55" s="32" t="inlineStr">
        <is>
          <t>RN-02 Cuentas institucionales</t>
        </is>
      </c>
      <c r="D55" s="32" t="inlineStr">
        <is>
          <t>8. Seguridad en la base de datos</t>
        </is>
      </c>
      <c r="E55" s="32" t="inlineStr">
        <is>
          <t>Administrador (SQL Editor), luego la cuenta nueva</t>
        </is>
      </c>
      <c r="F55" s="32" t="inlineStr">
        <is>
          <t>App</t>
        </is>
      </c>
      <c r="G55" s="32" t="inlineStr">
        <is>
          <t>El Administrador creó una cuenta de empresa asociada a una organización</t>
        </is>
      </c>
      <c r="H55" s="32" t="inlineStr">
        <is>
          <t>Esa persona inicia sesión</t>
        </is>
      </c>
      <c r="I55" s="32" t="inlineStr">
        <is>
          <t>Entra a la Bandeja de esa organización</t>
        </is>
      </c>
      <c r="J55" s="32" t="inlineStr">
        <is>
          <t>Crear un usuario en Authentication &gt; Add user y asignarle: update perfiles set rol = 'empresa', organizacion_id = 'pilarbus' where id = '&lt;id&gt;';</t>
        </is>
      </c>
      <c r="K55" s="30" t="n"/>
      <c r="L55" s="30" t="n"/>
      <c r="M55" s="30" t="n"/>
      <c r="N55" s="31" t="n"/>
    </row>
    <row r="56" ht="23.85" customHeight="1" s="21">
      <c r="A56" s="28" t="n">
        <v>55</v>
      </c>
      <c r="B56" s="29" t="inlineStr">
        <is>
          <t>CA-RNF06-1</t>
        </is>
      </c>
      <c r="C56" s="28" t="inlineStr">
        <is>
          <t>RNF-06 Accesibilidad</t>
        </is>
      </c>
      <c r="D56" s="28" t="inlineStr">
        <is>
          <t>9. Accesibilidad</t>
        </is>
      </c>
      <c r="E56" s="28" t="inlineStr">
        <is>
          <t>Cualquiera</t>
        </is>
      </c>
      <c r="F56" s="28" t="inlineStr">
        <is>
          <t>App</t>
        </is>
      </c>
      <c r="G56" s="28" t="inlineStr">
        <is>
          <t>Configuré letra grande en el celular</t>
        </is>
      </c>
      <c r="H56" s="28" t="inlineStr">
        <is>
          <t>Recorro las pantallas de la Etapa 1</t>
        </is>
      </c>
      <c r="I56" s="28" t="inlineStr">
        <is>
          <t>Los textos se agrandan sin cortarse ni superponerse</t>
        </is>
      </c>
      <c r="J56" s="28" t="inlineStr">
        <is>
          <t>Configurar la letra más grande en el celular.</t>
        </is>
      </c>
      <c r="K56" s="30" t="inlineStr">
        <is>
          <t>Pasa</t>
        </is>
      </c>
      <c r="L56" s="30" t="inlineStr">
        <is>
          <t>Tercera prueba 12/10/2026 con letra del sistema al máximo (font_scale 2.0), con vecino1 en Crear reporte: el botón "📍 GPS" quedó debajo del campo Ubicación, a todo el ancho, y el texto de ejemplo "Dirección o parada" se ve entero (campo 371 dp de ancho). Al terminar volví la letra a 1.0. | Repetida el 11/10/2026 con letra del sistema al máximo (font_scale 2.0); recorrí Bienvenida, Login, Registro, Reportar, Mis reportes, Ajustes y Crear reporte. Corregido: la pestaña "Mis reportes" ahora se ve entera (se achica para entrar) y no se superpone con la barra de gestos (queda muy cerca, ~2 dp, pero sin tocarla). Sigue cortado: en Crear reporte, el texto de ejemplo del campo Ubicación se ve "Dirección o parad" (falta la última "a") porque comparte la fila con el botón GPS. El resto se agranda y se desplaza bien, sin cortes ni superposiciones. Al terminar volví la letra a 1.0. | Antes: se cortaban "Mis repo…" y "Escribí la direcció…". | Emulador 11/10/2026 (Claude en VS Code): con letra al máximo se cortaban la pestaña "Mis reportes" y el texto de ejemplo de Ubicación. Corregido en el Cambio N° 36: volver a probar. | Segunda prueba 11/10/2026: las pestañas ya entran; seguía cortado "Dirección o parada" al lado del botón GPS. Corregido en el Cambio N° 37: volver a probar.</t>
        </is>
      </c>
      <c r="M56" s="30" t="inlineStr">
        <is>
          <t>Claude (automatizado)</t>
        </is>
      </c>
      <c r="N56" s="31" t="n">
        <v>46307</v>
      </c>
    </row>
    <row r="57" ht="23.85" customHeight="1" s="21">
      <c r="A57" s="32" t="n">
        <v>56</v>
      </c>
      <c r="B57" s="33" t="inlineStr">
        <is>
          <t>CA-RNF06-2</t>
        </is>
      </c>
      <c r="C57" s="32" t="inlineStr">
        <is>
          <t>RNF-06 Accesibilidad</t>
        </is>
      </c>
      <c r="D57" s="32" t="inlineStr">
        <is>
          <t>9. Accesibilidad</t>
        </is>
      </c>
      <c r="E57" s="32" t="inlineStr">
        <is>
          <t>Cualquiera</t>
        </is>
      </c>
      <c r="F57" s="32" t="inlineStr">
        <is>
          <t>App</t>
        </is>
      </c>
      <c r="G57" s="32" t="inlineStr">
        <is>
          <t>Estoy en cualquier pantalla</t>
        </is>
      </c>
      <c r="H57" s="32" t="inlineStr">
        <is>
          <t>Toco botones, chips y enlaces</t>
        </is>
      </c>
      <c r="I57" s="32" t="inlineStr">
        <is>
          <t>Todos tienen un área táctil de al menos 44 × 44 puntos</t>
        </is>
      </c>
      <c r="J57" s="32" t="n"/>
      <c r="K57" s="30" t="inlineStr">
        <is>
          <t>Pasa</t>
        </is>
      </c>
      <c r="L57" s="30" t="inlineStr">
        <is>
          <t>Tercera prueba 12/10/2026 con letra al máximo, medido con uiautomator en Mapa (1 dp = 2,625 px): "Paradas y líneas" 189,7 × 44,2 dp; "Mapa de calor" 189,7 × 44,2 dp; "Filtros del mapa" 228,6 × 44,2 dp; "X" (Cerrar) de la parada elegida (San Martín y Bolívar) 44,2 × 44,2 dp. Todo ≥ 44. Fuera de lo pedido: los marcadores de parada del mapa miden ~26 dp (son íconos del mapa, no botones de la app), y con la ficha abierta la leyenda "Paradas © colaboradores de OpenStreetMap" queda flotando en medio del mapa. | Repetida el 11/10/2026: medí con uiautomator (1 dp = 2,625 px) los elementos tocables de Bienvenida, Login, Registro, Reportar, Mis reportes, Ajustes y Crear reporte. Todos cumplen 44 × 44: tema "Claro"/"Oscuro" 168 × 44 dp; "Probar" 44 × 44 dp (115 px, minWidth 44 redondeado al píxel) + hitSlop vertical; "← Volver"/"← Cancelar" 44 dp de alto; campos 45; botones 46-50; pestañas 103 × 49; chips de "¿Qué pasó?" 35 + hitSlop 12 = 47. Fuera del alcance de la corrida anterior, en Mapa NO cumplen: "Paradas y líneas"/"Mapa de calor" y "Filtros del mapa" (40 dp de alto, sin hitSlop; MapaPantalla.tsx líneas 158 y 164) y la "X" de la parada elegida (ícono 22 + hitSlop 10 = 42 dp). | Antes (Falla): tema 40 dp y "Probar" 42 dp de ancho. | Emulador 11/10/2026: Claro/Oscuro medían 40 de alto y "Probar" 42 de ancho. Corregido en el Cambio N° 36: volver a probar (falta medir la pantalla Mapa). | Segunda prueba 11/10/2026: Ajustes y "Probar" ya miden 44; en Mapa los botones medían 40 y la X 42. Corregido en el Cambio N° 37: volver a probar. | Se carga Falla porque el criterio es "cualquier pantalla" y Mapa no cumplía.</t>
        </is>
      </c>
      <c r="M57" s="30" t="inlineStr">
        <is>
          <t>Claude (automatizado)</t>
        </is>
      </c>
      <c r="N57" s="31" t="n">
        <v>46307</v>
      </c>
    </row>
    <row r="58" ht="23.85" customHeight="1" s="21">
      <c r="A58" s="28" t="n">
        <v>57</v>
      </c>
      <c r="B58" s="29" t="inlineStr">
        <is>
          <t>CA-RF02-5</t>
        </is>
      </c>
      <c r="C58" s="28" t="inlineStr">
        <is>
          <t>RF-02 Inicio de sesión</t>
        </is>
      </c>
      <c r="D58" s="28" t="inlineStr">
        <is>
          <t>1. Registro e inicio de sesión</t>
        </is>
      </c>
      <c r="E58" s="28" t="inlineStr">
        <is>
          <t>Correo nuevo (base de la beta)</t>
        </is>
      </c>
      <c r="F58" s="28" t="inlineStr">
        <is>
          <t>App</t>
        </is>
      </c>
      <c r="G58" s="28" t="inlineStr">
        <is>
          <t>Me registré en la beta y todavía no confirmé el correo</t>
        </is>
      </c>
      <c r="H58" s="28" t="inlineStr">
        <is>
          <t>Ingreso correo y contraseña y toco "Iniciar sesión"</t>
        </is>
      </c>
      <c r="I58" s="28" t="inlineStr">
        <is>
          <t>Se muestra "Confirmá tu correo con el mail que te enviamos antes de iniciar sesión." y no entro</t>
        </is>
      </c>
      <c r="J58" s="28" t="inlineStr">
        <is>
          <t>Solo en la base de la beta ("Confirm email" activado). En desarrollo la confirmación está desactivada.</t>
        </is>
      </c>
      <c r="K58" s="30" t="inlineStr">
        <is>
          <t>Pasa</t>
        </is>
      </c>
      <c r="L58" s="30" t="inlineStr">
        <is>
          <t>Probado 12/10/2026 en la beta con ojoalbondi.app@gmail.com (contraseña de prueba: OjoBondi2026), recién registrada: el registro mostró "Cuenta creada". Al iniciar sesión sin confirmar se mostró "Confirmá tu correo con el mail que te enviamos antes de iniciar sesión." y la app quedó en Login. | Agregado el 11/10/2026 (Registro de cambio N° 20). | Corrección 11/10/2026: en la beta la confirmación de correo SÍ está activa (una cuenta nueva quedó sin confirmar y Supabase reenvió el mail), así que este caso se puede probar. Se quita el Bloqueado.</t>
        </is>
      </c>
      <c r="M58" s="30" t="inlineStr">
        <is>
          <t>Claude (automatizado)</t>
        </is>
      </c>
      <c r="N58" s="31" t="n">
        <v>46307</v>
      </c>
    </row>
    <row r="59" ht="23.85" customHeight="1" s="21">
      <c r="A59" s="32" t="n">
        <v>58</v>
      </c>
      <c r="B59" s="33" t="inlineStr">
        <is>
          <t>CA-RF02-6</t>
        </is>
      </c>
      <c r="C59" s="32" t="inlineStr">
        <is>
          <t>RF-02 Inicio de sesión</t>
        </is>
      </c>
      <c r="D59" s="32" t="inlineStr">
        <is>
          <t>1. Registro e inicio de sesión</t>
        </is>
      </c>
      <c r="E59" s="32" t="inlineStr">
        <is>
          <t>La cuenta de CA-RF02-5 (base de la beta)</t>
        </is>
      </c>
      <c r="F59" s="32" t="inlineStr">
        <is>
          <t>App</t>
        </is>
      </c>
      <c r="G59" s="32" t="inlineStr">
        <is>
          <t>Abrí el mail de confirmación y confirmé la cuenta</t>
        </is>
      </c>
      <c r="H59" s="32" t="inlineStr">
        <is>
          <t>Inicio sesión con correo y contraseña</t>
        </is>
      </c>
      <c r="I59" s="32" t="inlineStr">
        <is>
          <t>Entro a la pantalla Reportar</t>
        </is>
      </c>
      <c r="J59" s="32" t="inlineStr">
        <is>
          <t>Solo en la base de la beta. Requiere el SMTP propio configurado.</t>
        </is>
      </c>
      <c r="K59" s="30" t="inlineStr">
        <is>
          <t>Pasa</t>
        </is>
      </c>
      <c r="L59" s="30" t="inlineStr">
        <is>
          <t>Probado 12/10/2026 en la beta con ojoalbondi.app@gmail.com después de confirmar el mail: inició sesión y entró a Reportar ("Hola, Prueba"). Ojo: el enlace del mail de confirmación redirige a localhost:3000 (Site URL por defecto de Supabase) y en el celular abre una página de error "This site can't be reached", aunque la cuenta queda confirmada. Conviene configurar Site URL / Redirect URLs en Supabase &gt; Authentication &gt; URL Configuration. | Agregado el 11/10/2026 (Registro de cambio N° 20). | Corrección 11/10/2026: en la beta la confirmación de correo SÍ está activa (una cuenta nueva quedó sin confirmar y Supabase reenvió el mail), así que este caso se puede probar. Se quita el Bloqueado.</t>
        </is>
      </c>
      <c r="M59" s="30" t="inlineStr">
        <is>
          <t>Claude (automatizado)</t>
        </is>
      </c>
      <c r="N59" s="31" t="n">
        <v>46307</v>
      </c>
    </row>
    <row r="60" ht="23.85" customHeight="1" s="21">
      <c r="A60" s="28" t="n">
        <v>59</v>
      </c>
      <c r="B60" s="29" t="inlineStr">
        <is>
          <t>CA-RNF01-3</t>
        </is>
      </c>
      <c r="C60" s="28" t="inlineStr">
        <is>
          <t>RNF-01 Seguridad por rol</t>
        </is>
      </c>
      <c r="D60" s="28" t="inlineStr">
        <is>
          <t>8. Seguridad en la base de datos</t>
        </is>
      </c>
      <c r="E60" s="28" t="inlineStr">
        <is>
          <t>vecino1@prueba.ojoalbondi</t>
        </is>
      </c>
      <c r="F60" s="28" t="inlineStr">
        <is>
          <t>Base de datos</t>
        </is>
      </c>
      <c r="G60" s="28" t="inlineStr">
        <is>
          <t>Soy ciudadano y conozco la clave publicable de la app</t>
        </is>
      </c>
      <c r="H60" s="28" t="inlineStr">
        <is>
          <t>Inserto un reclamo por fuera de la app mandando un ticket inventado y una fecha de registro vieja</t>
        </is>
      </c>
      <c r="I60" s="28" t="inlineStr">
        <is>
          <t>El insert da "permission denied" porque ticket y creado_en no se pueden cargar desde la app. Sin esas dos columnas, el reclamo se guarda con un ticket correlativo OB-AAAA-NNNN y la fecha de registro del momento</t>
        </is>
      </c>
      <c r="J60" s="28" t="inlineStr">
        <is>
          <t>Como vecino1@prueba.ojoalbondi: insert into reclamos (linea, sentido_lugar_id, motivo, interno_patente, fecha_hora_hecho, ubicacion_texto, ticket, creado_en) select '501', lugar_id, 'demora', '123', now() - interval '1 hour', 'Prueba', 'URGENTE', '2020-01-01' from sentidos_por_linea where linea = '501' limit 1 returning ticket, creado_en;  → ticket OB-2026-…, creado_en de hoy. Después, como administrador: delete from reclamos where id = '&lt;id&gt;';</t>
        </is>
      </c>
      <c r="K60" s="30" t="inlineStr">
        <is>
          <t>Pasa</t>
        </is>
      </c>
      <c r="L60" s="30" t="inlineStr">
        <is>
          <t>Requiere la migración 006, que todavía no se corrió en la base de desarrollo: hasta entonces marcar Bloqueado. Agregado el 11/10/2026 (Registro de cambio N° 19). Actualizado el 11/10/2026 (Registro de cambio N° 29): con la migración 007 la base rechaza el insert en vez de ignorar los campos. | Con ticket y creado_en: "permission denied for table reclamos". Sin esas columnas: ticket OB-2026-0151 con fecha de hoy y una sola entrada de historial (Recibido, Sistema). Se deshizo: el contador sigue en 150.</t>
        </is>
      </c>
      <c r="M60" s="30" t="inlineStr">
        <is>
          <t>Claude (SQL en la beta, en nombre de la cuenta del caso)</t>
        </is>
      </c>
      <c r="N60" s="31" t="n">
        <v>46306</v>
      </c>
    </row>
    <row r="61" ht="23.85" customHeight="1" s="21">
      <c r="A61" s="32" t="n">
        <v>60</v>
      </c>
      <c r="B61" s="33" t="inlineStr">
        <is>
          <t>CA-RNF01-4</t>
        </is>
      </c>
      <c r="C61" s="32" t="inlineStr">
        <is>
          <t>RNF-01 Seguridad por rol</t>
        </is>
      </c>
      <c r="D61" s="32" t="inlineStr">
        <is>
          <t>8. Seguridad en la base de datos</t>
        </is>
      </c>
      <c r="E61" s="32" t="inlineStr">
        <is>
          <t>vecino1@prueba.ojoalbondi</t>
        </is>
      </c>
      <c r="F61" s="32" t="inlineStr">
        <is>
          <t>Base de datos</t>
        </is>
      </c>
      <c r="G61" s="32" t="inlineStr">
        <is>
          <t>Conozco la clave publicable de la app y tengo sesión</t>
        </is>
      </c>
      <c r="H61" s="32" t="inlineStr">
        <is>
          <t>Llamo a la función generar_ticket por RPC</t>
        </is>
      </c>
      <c r="I61" s="32" t="inlineStr">
        <is>
          <t>Error "generar_ticket() solo se usa desde el trigger de reclamos" y no se consume ningún número</t>
        </is>
      </c>
      <c r="J61" s="32" t="inlineStr">
        <is>
          <t>Como vecino1: select generar_ticket(); (o POST /rest/v1/rpc/generar_ticket). Sin sesión: "permission denied for function generar_ticket".</t>
        </is>
      </c>
      <c r="K61" s="30" t="inlineStr">
        <is>
          <t>Pasa</t>
        </is>
      </c>
      <c r="L61" s="30" t="inlineStr">
        <is>
          <t>Requiere la migración 007. Agregado el 11/10/2026 (Registro de cambio N° 29). | Desde la migración 008 la función es generar_ticket(p_anio). Con sesión: "generar_ticket() solo se usa desde el trigger de reclamos"; sin sesión: "permission denied for function generar_ticket". La llamada por la API la repite pruebas/probar-api.mjs.</t>
        </is>
      </c>
      <c r="M61" s="30" t="inlineStr">
        <is>
          <t>Claude (SQL en la beta, en nombre de la cuenta del caso)</t>
        </is>
      </c>
      <c r="N61" s="31" t="n">
        <v>46306</v>
      </c>
    </row>
    <row r="62" ht="23.85" customHeight="1" s="21">
      <c r="A62" s="28" t="n">
        <v>61</v>
      </c>
      <c r="B62" s="29" t="inlineStr">
        <is>
          <t>CA-RNF01-5</t>
        </is>
      </c>
      <c r="C62" s="28" t="inlineStr">
        <is>
          <t>RNF-01 Seguridad por rol; RNF-03</t>
        </is>
      </c>
      <c r="D62" s="28" t="inlineStr">
        <is>
          <t>8. Seguridad en la base de datos</t>
        </is>
      </c>
      <c r="E62" s="28" t="inlineStr">
        <is>
          <t>tratado@prueba.ojoalbondi</t>
        </is>
      </c>
      <c r="F62" s="28" t="inlineStr">
        <is>
          <t>Base de datos</t>
        </is>
      </c>
      <c r="G62" s="28" t="inlineStr">
        <is>
          <t>Soy empresa con la línea 501 suscripta y hay reclamos de esa línea</t>
        </is>
      </c>
      <c r="H62" s="28" t="inlineStr">
        <is>
          <t>Leo la tabla reclamos directamente por la API</t>
        </is>
      </c>
      <c r="I62" s="28" t="inlineStr">
        <is>
          <t>No veo ninguna fila (no puedo obtener el id del ciudadano). En la app, la bandeja, el detalle, el historial y la foto se siguen viendo</t>
        </is>
      </c>
      <c r="J62" s="28" t="inlineStr">
        <is>
          <t>Como tratado: select count(*) from reclamos; → 0. select count(*) from reclamos_gestion; → la cantidad de la bandeja.</t>
        </is>
      </c>
      <c r="K62" s="30" t="inlineStr">
        <is>
          <t>Pasa</t>
        </is>
      </c>
      <c r="L62" s="30" t="inlineStr">
        <is>
          <t>Requiere la migración 007. Agregado el 11/10/2026 (Registro de cambio N° 29). | reclamos → 0; reclamos_gestion → 27 (501, 501-503 y 503); ve 47 entradas de historial. Bandeja, detalle y foto se miran en el celular (los datos de prueba no tienen fotos).</t>
        </is>
      </c>
      <c r="M62" s="30" t="inlineStr">
        <is>
          <t>Claude (SQL en la beta, en nombre de la cuenta del caso)</t>
        </is>
      </c>
      <c r="N62" s="31" t="n">
        <v>46306</v>
      </c>
    </row>
    <row r="63" ht="23.85" customHeight="1" s="21">
      <c r="A63" s="32" t="n">
        <v>62</v>
      </c>
      <c r="B63" s="33" t="inlineStr">
        <is>
          <t>CA-RNF01-6</t>
        </is>
      </c>
      <c r="C63" s="32" t="inlineStr">
        <is>
          <t>RNF-01 Seguridad por rol; RF-03</t>
        </is>
      </c>
      <c r="D63" s="32" t="inlineStr">
        <is>
          <t>8. Seguridad en la base de datos</t>
        </is>
      </c>
      <c r="E63" s="32" t="inlineStr">
        <is>
          <t>vecino1@prueba.ojoalbondi</t>
        </is>
      </c>
      <c r="F63" s="32" t="inlineStr">
        <is>
          <t>Base de datos</t>
        </is>
      </c>
      <c r="G63" s="32" t="inlineStr">
        <is>
          <t>Tengo sesión de ciudadano</t>
        </is>
      </c>
      <c r="H63" s="32" t="inlineStr">
        <is>
          <t>Inserto por la API un reclamo con fecha del hecho en el futuro, o con la foto de otra carpeta</t>
        </is>
      </c>
      <c r="I63" s="32" t="inlineStr">
        <is>
          <t>Error "La fecha y hora del hecho no puede ser futura" o "La foto no pertenece a tu cuenta"; no se guarda nada</t>
        </is>
      </c>
      <c r="J63" s="32" t="inlineStr">
        <is>
          <t>Como vecino1: insert into reclamos (linea, sentido_lugar_id, motivo, interno_patente, fecha_hora_hecho, ubicacion_texto) select '501', lugar_id, 'demora', '1', '2030-01-01 10:00', 'Prueba' from sentidos_por_linea where linea = '501' limit 1;</t>
        </is>
      </c>
      <c r="K63" s="30" t="inlineStr">
        <is>
          <t>Pasa</t>
        </is>
      </c>
      <c r="L63" s="30" t="inlineStr">
        <is>
          <t>Requiere la migración 007. Agregado el 11/10/2026 (Registro de cambio N° 29). | "La fecha y hora del hecho no puede ser futura" y "La foto no pertenece a tu cuenta"; no se guardó nada.</t>
        </is>
      </c>
      <c r="M63" s="30" t="inlineStr">
        <is>
          <t>Claude (SQL en la beta, en nombre de la cuenta del caso)</t>
        </is>
      </c>
      <c r="N63" s="31" t="n">
        <v>46306</v>
      </c>
    </row>
    <row r="64" ht="23.85" customHeight="1" s="21">
      <c r="A64" s="28" t="n">
        <v>63</v>
      </c>
      <c r="B64" s="29" t="inlineStr">
        <is>
          <t>CA-RF26-3</t>
        </is>
      </c>
      <c r="C64" s="28" t="inlineStr">
        <is>
          <t>RF-26 Perfil Administración</t>
        </is>
      </c>
      <c r="D64" s="28" t="inlineStr">
        <is>
          <t>8. Seguridad en la base de datos</t>
        </is>
      </c>
      <c r="E64" s="28" t="inlineStr">
        <is>
          <t>admin@prueba.ojoalbondi</t>
        </is>
      </c>
      <c r="F64" s="28" t="inlineStr">
        <is>
          <t>Base de datos</t>
        </is>
      </c>
      <c r="G64" s="28" t="inlineStr">
        <is>
          <t>Soy administrador</t>
        </is>
      </c>
      <c r="H64" s="28" t="inlineStr">
        <is>
          <t>Llamo a admin_asignar_rol con rol municipio y una organización de tipo empresa</t>
        </is>
      </c>
      <c r="I64" s="28" t="inlineStr">
        <is>
          <t>Error "La organización elegida no corresponde al rol municipio" y la cuenta no cambia</t>
        </is>
      </c>
      <c r="J64" s="28" t="inlineStr">
        <is>
          <t>Como admin: select admin_asignar_rol('&lt;id de vecino1&gt;', 'municipio', 'tratado');</t>
        </is>
      </c>
      <c r="K64" s="30" t="inlineStr">
        <is>
          <t>Pasa</t>
        </is>
      </c>
      <c r="L64" s="30" t="inlineStr">
        <is>
          <t>La pantalla Cuentas ya filtra las organizaciones; esto controla la base. Requiere la migración 007. Agregado el 11/10/2026 (Registro de cambio N° 29). | "La organización elegida no corresponde al rol municipio". Además, una empresa que llama a admin_asignar_rol recibe "Solo el administrador puede cambiar roles".</t>
        </is>
      </c>
      <c r="M64" s="30" t="inlineStr">
        <is>
          <t>Claude (SQL en la beta, en nombre de la cuenta del caso)</t>
        </is>
      </c>
      <c r="N64" s="31" t="n">
        <v>46306</v>
      </c>
    </row>
    <row r="65" ht="23.85" customHeight="1" s="21">
      <c r="A65" s="32" t="n">
        <v>64</v>
      </c>
      <c r="B65" s="33" t="inlineStr">
        <is>
          <t>CA-RF10-3</t>
        </is>
      </c>
      <c r="C65" s="32" t="inlineStr">
        <is>
          <t>RF-10 Acceso por rol</t>
        </is>
      </c>
      <c r="D65" s="32" t="inlineStr">
        <is>
          <t>5. Institución: acceso y bandeja</t>
        </is>
      </c>
      <c r="E65" s="32" t="inlineStr">
        <is>
          <t>tratado@prueba.ojoalbondi</t>
        </is>
      </c>
      <c r="F65" s="32" t="inlineStr">
        <is>
          <t>App</t>
        </is>
      </c>
      <c r="G65" s="32" t="inlineStr">
        <is>
          <t>Entré una vez con conexión y cerré la app sin cerrar sesión</t>
        </is>
      </c>
      <c r="H65" s="32" t="inlineStr">
        <is>
          <t>Activo el modo avión y vuelvo a abrir la app</t>
        </is>
      </c>
      <c r="I65" s="32" t="inlineStr">
        <is>
          <t>Sigo viendo la bandeja de la empresa (no la pantalla del ciudadano)</t>
        </is>
      </c>
      <c r="J65" s="32" t="n"/>
      <c r="K65" s="30" t="n"/>
      <c r="L65" s="30" t="inlineStr">
        <is>
          <t>Agregado el 11/10/2026 (Registro de cambio N° 30).</t>
        </is>
      </c>
      <c r="M65" s="30" t="n"/>
      <c r="N65" s="31" t="n"/>
    </row>
    <row r="66" ht="23.85" customHeight="1" s="21">
      <c r="A66" s="28" t="n">
        <v>65</v>
      </c>
      <c r="B66" s="29" t="inlineStr">
        <is>
          <t>CA-RF11-4</t>
        </is>
      </c>
      <c r="C66" s="28" t="inlineStr">
        <is>
          <t>RF-11 Bandeja de reclamos</t>
        </is>
      </c>
      <c r="D66" s="28" t="inlineStr">
        <is>
          <t>5. Institución: acceso y bandeja</t>
        </is>
      </c>
      <c r="E66" s="28" t="inlineStr">
        <is>
          <t>municipio@prueba.ojoalbondi</t>
        </is>
      </c>
      <c r="F66" s="28" t="inlineStr">
        <is>
          <t>App</t>
        </is>
      </c>
      <c r="G66" s="28" t="inlineStr">
        <is>
          <t>Hay más de 40 reclamos en "Todos"</t>
        </is>
      </c>
      <c r="H66" s="28" t="inlineStr">
        <is>
          <t>Bajo rápido hasta el final de la lista varias veces y cambio entre "Pendientes" y "Todos"</t>
        </is>
      </c>
      <c r="I66" s="28" t="inlineStr">
        <is>
          <t>Ningún reclamo aparece repetido y la lista corresponde al filtro elegido</t>
        </is>
      </c>
      <c r="J66" s="28" t="n"/>
      <c r="K66" s="30" t="n"/>
      <c r="L66" s="30" t="inlineStr">
        <is>
          <t>Agregado el 11/10/2026 (Registro de cambio N° 30).</t>
        </is>
      </c>
      <c r="M66" s="30" t="n"/>
      <c r="N66" s="31" t="n"/>
    </row>
    <row r="67" ht="23.85" customHeight="1" s="21">
      <c r="A67" s="32" t="n">
        <v>66</v>
      </c>
      <c r="B67" s="33" t="inlineStr">
        <is>
          <t>CA-RF07-3</t>
        </is>
      </c>
      <c r="C67" s="32" t="inlineStr">
        <is>
          <t>RF-07 Modo sin conexión</t>
        </is>
      </c>
      <c r="D67" s="32" t="inlineStr">
        <is>
          <t>4. Ciudadano: sin conexión</t>
        </is>
      </c>
      <c r="E67" s="32" t="inlineStr">
        <is>
          <t>vecino1@prueba.ojoalbondi</t>
        </is>
      </c>
      <c r="F67" s="32" t="inlineStr">
        <is>
          <t>App</t>
        </is>
      </c>
      <c r="G67" s="32" t="inlineStr">
        <is>
          <t>Guardé sin conexión un reclamo con foto</t>
        </is>
      </c>
      <c r="H67" s="32" t="inlineStr">
        <is>
          <t>Vuelve la señal y se envía solo; después cierro y abro la app con conexión</t>
        </is>
      </c>
      <c r="I67" s="32" t="inlineStr">
        <is>
          <t>En Mis reportes aparece una sola vez, con un único ticket; la institución ve la foto</t>
        </is>
      </c>
      <c r="J67" s="32" t="n"/>
      <c r="K67" s="30" t="n"/>
      <c r="L67" s="30" t="inlineStr">
        <is>
          <t>Agregado el 11/10/2026 (Registro de cambio N° 30).</t>
        </is>
      </c>
      <c r="M67" s="30" t="n"/>
      <c r="N67" s="31" t="n"/>
    </row>
    <row r="68" ht="23.85" customHeight="1" s="21">
      <c r="A68" s="28" t="n">
        <v>67</v>
      </c>
      <c r="B68" s="29" t="inlineStr">
        <is>
          <t>CA-RF01-6</t>
        </is>
      </c>
      <c r="C68" s="28" t="inlineStr">
        <is>
          <t>RF-01 Registro</t>
        </is>
      </c>
      <c r="D68" s="28" t="inlineStr">
        <is>
          <t>8. Seguridad en la base de datos</t>
        </is>
      </c>
      <c r="E68" s="28" t="inlineStr">
        <is>
          <t>Correo nuevo (sin cuenta)</t>
        </is>
      </c>
      <c r="F68" s="28" t="inlineStr">
        <is>
          <t>Base de datos</t>
        </is>
      </c>
      <c r="G68" s="28" t="inlineStr">
        <is>
          <t>Conozco la clave publicable de la app</t>
        </is>
      </c>
      <c r="H68" s="28" t="inlineStr">
        <is>
          <t>Me registro por la API (auth.signUp) sin mandar la fecha de nacimiento, o con una fecha inválida</t>
        </is>
      </c>
      <c r="I68" s="28" t="inlineStr">
        <is>
          <t>La cuenta no se crea. En los logs de Auth figura "Registro: falta la fecha de nacimiento o no es válida"; la app mostraría "No se pudo crear la cuenta. Revisá nombre, apellido y fecha de nacimiento."</t>
        </is>
      </c>
      <c r="J68" s="28" t="inlineStr">
        <is>
          <t>Con supabase-js: supabase.auth.signUp({ email, password, options: { data: { nombre: "A", apellido: "B" } } }) → error "Database error saving new user".</t>
        </is>
      </c>
      <c r="K68" s="30" t="inlineStr">
        <is>
          <t>Pasa</t>
        </is>
      </c>
      <c r="L68" s="30" t="inlineStr">
        <is>
          <t>Requiere la migración 008. Agregado el 11/10/2026 (Registro de cambio N° 31). | Verificado en la base simulando el alta: sin fecha de nacimiento o con fecha futura falla con "Registro: falta la fecha de nacimiento o no es válida" y no se crea la cuenta. La respuesta de la API la confirma pruebas/probar-api.mjs.</t>
        </is>
      </c>
      <c r="M68" s="30" t="inlineStr">
        <is>
          <t>Claude (SQL en la beta, en nombre de la cuenta del caso)</t>
        </is>
      </c>
      <c r="N68" s="31" t="n">
        <v>46306</v>
      </c>
    </row>
    <row r="69" ht="23.85" customHeight="1" s="21">
      <c r="A69" s="32" t="n">
        <v>68</v>
      </c>
      <c r="B69" s="33" t="inlineStr">
        <is>
          <t>CA-RF06-4</t>
        </is>
      </c>
      <c r="C69" s="32" t="inlineStr">
        <is>
          <t>RF-06 Ajustes</t>
        </is>
      </c>
      <c r="D69" s="32" t="inlineStr">
        <is>
          <t>3. Ciudadano: inicio, mis reportes y ajustes</t>
        </is>
      </c>
      <c r="E69" s="32" t="inlineStr">
        <is>
          <t>vecino1@prueba.ojoalbondi</t>
        </is>
      </c>
      <c r="F69" s="32" t="inlineStr">
        <is>
          <t>App</t>
        </is>
      </c>
      <c r="G69" s="32" t="inlineStr">
        <is>
          <t>Estoy en Ajustes</t>
        </is>
      </c>
      <c r="H69" s="32" t="inlineStr">
        <is>
          <t>Recorro la pantalla</t>
        </is>
      </c>
      <c r="I69" s="32" t="inlineStr">
        <is>
          <t>No aparece la sección Notificaciones ni el interruptor "Avisos de estado"; sí Apariencia, Permisos, Legal y Cerrar sesión</t>
        </is>
      </c>
      <c r="J69" s="32" t="n"/>
      <c r="K69" s="30" t="inlineStr">
        <is>
          <t>Pasa</t>
        </is>
      </c>
      <c r="L69" s="30" t="inlineStr">
        <is>
          <t>Agregado el 11/10/2026 (Registro de cambio N° 32). Vuelve cuando se implemente RF-09. | Emulador 11/10/2026: falló porque la carpeta usada no tenía el zip de la revisión de código (Cambio N° 32). Repetir con ese zip aplicado. | Segunda prueba 11/10/2026 con el zip de la revisión aplicado: pasa.</t>
        </is>
      </c>
      <c r="M69" s="30" t="inlineStr">
        <is>
          <t>Claude en VS Code (emulador)</t>
        </is>
      </c>
      <c r="N69" s="31" t="n">
        <v>46306</v>
      </c>
    </row>
    <row r="70" ht="23.85" customHeight="1" s="21">
      <c r="A70" s="28" t="n">
        <v>69</v>
      </c>
      <c r="B70" s="29" t="inlineStr">
        <is>
          <t>CA-RF07-4</t>
        </is>
      </c>
      <c r="C70" s="28" t="inlineStr">
        <is>
          <t>RF-07 Modo sin conexión</t>
        </is>
      </c>
      <c r="D70" s="28" t="inlineStr">
        <is>
          <t>4. Ciudadano: sin conexión</t>
        </is>
      </c>
      <c r="E70" s="28" t="inlineStr">
        <is>
          <t>vecino1@prueba.ojoalbondi</t>
        </is>
      </c>
      <c r="F70" s="28" t="inlineStr">
        <is>
          <t>App</t>
        </is>
      </c>
      <c r="G70" s="28" t="inlineStr">
        <is>
          <t>Guardé sin conexión un reclamo y, antes de que vuelva la señal, el administrador desactivó en la base el ramal del sentido que elegí</t>
        </is>
      </c>
      <c r="H70" s="28" t="inlineStr">
        <is>
          <t>Vuelve la señal y entro a Mis reportes</t>
        </is>
      </c>
      <c r="I70" s="28" t="inlineStr">
        <is>
          <t>Aparece "Borrador sin enviar" con el motivo ("El sentido elegido no corresponde a la línea…") y los botones Reintentar y Descartar. Descartar pide confirmación y lo borra</t>
        </is>
      </c>
      <c r="J70" s="28" t="inlineStr">
        <is>
          <t>Para provocar el rechazo, como administrador en el SQL Editor: update ramales set activo = false where id = &lt;ramal del sentido&gt;; (después volver a activarlo).</t>
        </is>
      </c>
      <c r="K70" s="30" t="n"/>
      <c r="L70" s="30" t="inlineStr">
        <is>
          <t>Agregado el 11/10/2026 (Registro de cambio N° 32).</t>
        </is>
      </c>
      <c r="M70" s="30" t="n"/>
      <c r="N70" s="31" t="n"/>
    </row>
    <row r="71" ht="23.85" customHeight="1" s="21">
      <c r="A71" s="32" t="n">
        <v>70</v>
      </c>
      <c r="B71" s="33" t="inlineStr">
        <is>
          <t>CA-RNF01-7</t>
        </is>
      </c>
      <c r="C71" s="32" t="inlineStr">
        <is>
          <t>RNF-01 Seguridad por rol</t>
        </is>
      </c>
      <c r="D71" s="32" t="inlineStr">
        <is>
          <t>8. Seguridad en la base de datos</t>
        </is>
      </c>
      <c r="E71" s="32" t="inlineStr">
        <is>
          <t>vecino1@prueba.ojoalbondi</t>
        </is>
      </c>
      <c r="F71" s="32" t="inlineStr">
        <is>
          <t>Base de datos</t>
        </is>
      </c>
      <c r="G71" s="32" t="inlineStr">
        <is>
          <t>Tengo sesión de ciudadano</t>
        </is>
      </c>
      <c r="H71" s="32" t="inlineStr">
        <is>
          <t>Subo a mi carpeta del bucket fotos-reclamos un PDF, o una foto JPEG de más de 5 MB</t>
        </is>
      </c>
      <c r="I71" s="32" t="inlineStr">
        <is>
          <t>Storage rechaza la subida (tipo no permitido o archivo demasiado grande)</t>
        </is>
      </c>
      <c r="J71" s="32" t="inlineStr">
        <is>
          <t>Con supabase-js: supabase.storage.from("fotos-reclamos").upload("&lt;mi id&gt;/prueba.pdf", archivo, { contentType: "application/pdf" }) → error.</t>
        </is>
      </c>
      <c r="K71" s="30" t="n"/>
      <c r="L71" s="30" t="inlineStr">
        <is>
          <t>Requiere la migración 009. Agregado el 11/10/2026 (Registro de cambio N° 32). | Base revisada el 11/10/2026: el bucket ya es privado, solo image/jpeg y hasta 5 MB (la migración 009 ya rige en la beta). Falta la subida real, que pasa por la API de Storage: correr pruebas/probar-api.mjs desde VS Code.</t>
        </is>
      </c>
      <c r="M71" s="30" t="n"/>
      <c r="N71" s="31" t="n"/>
    </row>
    <row r="72" ht="23.85" customHeight="1" s="21">
      <c r="A72" s="28" t="n">
        <v>71</v>
      </c>
      <c r="B72" s="29" t="inlineStr">
        <is>
          <t>CA-RF26-1</t>
        </is>
      </c>
      <c r="C72" s="28" t="inlineStr">
        <is>
          <t>RF-26 Perfil Administración</t>
        </is>
      </c>
      <c r="D72" s="28" t="inlineStr">
        <is>
          <t>7. Asignación y suscripciones</t>
        </is>
      </c>
      <c r="E72" s="28" t="inlineStr">
        <is>
          <t>admin@prueba.ojoalbondi, luego la cuenta de la empresa</t>
        </is>
      </c>
      <c r="F72" s="28" t="inlineStr">
        <is>
          <t>App</t>
        </is>
      </c>
      <c r="G72" s="28" t="inlineStr">
        <is>
          <t>Soy administrador y una línea no tiene suscripción activa</t>
        </is>
      </c>
      <c r="H72" s="28" t="inlineStr">
        <is>
          <t>En Suscripciones activo la suscripción de esa línea eligiendo una empresa</t>
        </is>
      </c>
      <c r="I72" s="28" t="inlineStr">
        <is>
          <t>La línea muestra la suscripción activa y la empresa ve sus reclamos en la Bandeja</t>
        </is>
      </c>
      <c r="J72" s="28" t="n"/>
      <c r="K72" s="30" t="n"/>
      <c r="L72" s="30" t="n"/>
      <c r="M72" s="30" t="n"/>
      <c r="N72" s="31" t="n"/>
    </row>
    <row r="73" ht="23.85" customHeight="1" s="21">
      <c r="A73" s="32" t="n">
        <v>72</v>
      </c>
      <c r="B73" s="33" t="inlineStr">
        <is>
          <t>CA-RF26-2</t>
        </is>
      </c>
      <c r="C73" s="32" t="inlineStr">
        <is>
          <t>RF-26 Perfil Administración</t>
        </is>
      </c>
      <c r="D73" s="32" t="inlineStr">
        <is>
          <t>7. Asignación y suscripciones</t>
        </is>
      </c>
      <c r="E73" s="32" t="inlineStr">
        <is>
          <t>admin@prueba.ojoalbondi, luego la cuenta elegida</t>
        </is>
      </c>
      <c r="F73" s="32" t="inlineStr">
        <is>
          <t>App</t>
        </is>
      </c>
      <c r="G73" s="32" t="inlineStr">
        <is>
          <t>Soy administrador</t>
        </is>
      </c>
      <c r="H73" s="32" t="inlineStr">
        <is>
          <t>En Cuentas busco una cuenta y le asigno el rol empresa con su organización</t>
        </is>
      </c>
      <c r="I73" s="32" t="inlineStr">
        <is>
          <t>Al iniciar sesión, esa cuenta entra a la Bandeja de la organización</t>
        </is>
      </c>
      <c r="J73" s="32" t="n"/>
      <c r="K73" s="30" t="n"/>
      <c r="L73" s="30" t="n"/>
      <c r="M73" s="30" t="n"/>
      <c r="N73" s="31" t="n"/>
    </row>
    <row r="74" ht="23.85" customHeight="1" s="21">
      <c r="A74" s="28" t="n">
        <v>73</v>
      </c>
      <c r="B74" s="29" t="inlineStr">
        <is>
          <t>CA-RNF10-1</t>
        </is>
      </c>
      <c r="C74" s="28" t="inlineStr">
        <is>
          <t>RNF-10 Datos de prueba</t>
        </is>
      </c>
      <c r="D74" s="28" t="inlineStr">
        <is>
          <t>7. Asignación y suscripciones</t>
        </is>
      </c>
      <c r="E74" s="28" t="inlineStr">
        <is>
          <t>vecino1, tratado, municipio y admin @prueba.ojoalbondi</t>
        </is>
      </c>
      <c r="F74" s="28" t="inlineStr">
        <is>
          <t>App</t>
        </is>
      </c>
      <c r="G74" s="28" t="inlineStr">
        <is>
          <t>La app en Expo Go apunta a la beta (.env de PASO_A_PASO.md) y los datos de prueba están cargados</t>
        </is>
      </c>
      <c r="H74" s="28" t="inlineStr">
        <is>
          <t>Inicio sesión con cada una de esas cuentas (contraseña Prueba123!)</t>
        </is>
      </c>
      <c r="I74" s="28" t="inlineStr">
        <is>
          <t>vecino1 ve sus reclamos en Mis reportes; tratado ve en la Bandeja solo reclamos de la 501, 501-503 y 503; municipio ve los de todas las líneas; admin ve Suscripciones y Cuentas</t>
        </is>
      </c>
      <c r="J74" s="28" t="n"/>
      <c r="K74" s="30" t="n"/>
      <c r="L74" s="30" t="inlineStr">
        <is>
          <t>Agregado el 11/10/2026 (Registro de cambio N° 33).</t>
        </is>
      </c>
      <c r="M74" s="30" t="n"/>
      <c r="N74" s="31" t="n"/>
    </row>
    <row r="75" ht="23.85" customHeight="1" s="21">
      <c r="A75" s="32" t="n">
        <v>74</v>
      </c>
      <c r="B75" s="33" t="inlineStr">
        <is>
          <t>CA-RNF10-2</t>
        </is>
      </c>
      <c r="C75" s="32" t="inlineStr">
        <is>
          <t>RNF-10 Datos de prueba</t>
        </is>
      </c>
      <c r="D75" s="32" t="inlineStr">
        <is>
          <t>7. Asignación y suscripciones</t>
        </is>
      </c>
      <c r="E75" s="32" t="inlineStr">
        <is>
          <t>admin@prueba.ojoalbondi, luego rutabus@prueba.ojoalbondi</t>
        </is>
      </c>
      <c r="F75" s="32" t="inlineStr">
        <is>
          <t>App</t>
        </is>
      </c>
      <c r="G75" s="32" t="inlineStr">
        <is>
          <t>La 511 no tiene suscripción activa y rutabus tiene la Bandeja vacía</t>
        </is>
      </c>
      <c r="H75" s="32" t="inlineStr">
        <is>
          <t>El admin activa en Suscripciones la 511 para Ruta Bus y rutabus vuelve a entrar</t>
        </is>
      </c>
      <c r="I75" s="32" t="inlineStr">
        <is>
          <t>rutabus ve en la Bandeja los reclamos de la 511</t>
        </is>
      </c>
      <c r="J75" s="32" t="n"/>
      <c r="K75" s="30" t="n"/>
      <c r="L75" s="30" t="inlineStr">
        <is>
          <t>Al terminar, suspender la suscripción para dejar los datos como estaban. Cambio N° 33.</t>
        </is>
      </c>
      <c r="M75" s="30" t="n"/>
      <c r="N75" s="31" t="n"/>
    </row>
    <row r="76" ht="23.85" customHeight="1" s="21">
      <c r="A76" s="28" t="n">
        <v>75</v>
      </c>
      <c r="B76" s="29" t="inlineStr">
        <is>
          <t>CA-RNF10-3</t>
        </is>
      </c>
      <c r="C76" s="28" t="inlineStr">
        <is>
          <t>RNF-10 Datos de prueba</t>
        </is>
      </c>
      <c r="D76" s="28" t="inlineStr">
        <is>
          <t>8. Seguridad en la base de datos</t>
        </is>
      </c>
      <c r="E76" s="28" t="inlineStr">
        <is>
          <t>Responsable de la base (SQL Editor de la beta)</t>
        </is>
      </c>
      <c r="F76" s="28" t="inlineStr">
        <is>
          <t>Base de datos</t>
        </is>
      </c>
      <c r="G76" s="28" t="inlineStr">
        <is>
          <t>La beta tiene los datos de prueba cargados</t>
        </is>
      </c>
      <c r="H76" s="28" t="inlineStr">
        <is>
          <t>Corro borrar_datos_prueba_beta.sql y después verificar_base_beta.sql</t>
        </is>
      </c>
      <c r="I76" s="28" t="inlineStr">
        <is>
          <t>Quedan 0 cuentas de prueba, 0 reclamos y sin suscripciones de prueba; el próximo reclamo recibe OB-2026-0001</t>
        </is>
      </c>
      <c r="J76" s="28" t="inlineStr">
        <is>
          <t>Si se quiere seguir probando, volver a correr datos_prueba_beta.sql.</t>
        </is>
      </c>
      <c r="K76" s="30" t="n"/>
      <c r="L76" s="30" t="inlineStr">
        <is>
          <t>Hacerlo recién al cerrar las pruebas del equipo (Pendiente N° 28). Cambio N° 33. | No se corre durante las pruebas: borra los datos que usa el equipo.</t>
        </is>
      </c>
      <c r="M76" s="30" t="n"/>
      <c r="N76" s="31" t="n"/>
    </row>
    <row r="77" ht="23.85" customHeight="1" s="21">
      <c r="A77" s="32" t="n">
        <v>76</v>
      </c>
      <c r="B77" s="33" t="inlineStr">
        <is>
          <t>CA-RNF06-3</t>
        </is>
      </c>
      <c r="C77" s="32" t="inlineStr">
        <is>
          <t>RNF-06 Accesibilidad</t>
        </is>
      </c>
      <c r="D77" s="32" t="inlineStr">
        <is>
          <t>9. Accesibilidad</t>
        </is>
      </c>
      <c r="E77" s="32" t="inlineStr">
        <is>
          <t>Cualquiera</t>
        </is>
      </c>
      <c r="F77" s="32" t="inlineStr">
        <is>
          <t>App</t>
        </is>
      </c>
      <c r="G77" s="32" t="inlineStr">
        <is>
          <t>Estoy en Ajustes (o, con una cuenta de empresa o administración, en Bandeja, Cuentas o Suscripciones)</t>
        </is>
      </c>
      <c r="H77" s="32" t="inlineStr">
        <is>
          <t>Desplazo la pantalla hacia abajo</t>
        </is>
      </c>
      <c r="I77" s="32" t="inlineStr">
        <is>
          <t>El encabezado pasa por debajo de una franja del mismo color; nunca se ve encimado con la hora ni con los íconos de la barra de estado</t>
        </is>
      </c>
      <c r="J77" s="32" t="inlineStr">
        <is>
          <t>Probar también con tema oscuro.</t>
        </is>
      </c>
      <c r="K77" s="30" t="inlineStr">
        <is>
          <t>Pasa</t>
        </is>
      </c>
      <c r="L77" s="30" t="inlineStr">
        <is>
          <t>Probado 12/10/2026 con letra al máximo, con vecino1 en Ajustes, desplazando hasta que el título pasa por arriba. La barra de estado ocupa y = 0 a 132 px; la franja azul la cubre entera y el título recién se ve desde y = 132, así que nunca se encima con la hora ni con los íconos. Igual en tema claro y oscuro (captura: claro a la izquierda, oscuro a la derecha). Detalle: en tema claro los íconos de la barra de estado se ven oscuros sobre la franja azul oscura (poco contraste); en oscuro se ven blancos. Al terminar volví a tema Claro. | Agregado el 12/10/2026 (Registro de cambio N° 38).</t>
        </is>
      </c>
      <c r="M77" s="30" t="inlineStr">
        <is>
          <t>Claude (automatizado)</t>
        </is>
      </c>
      <c r="N77" s="31" t="n">
        <v>46307</v>
      </c>
    </row>
    <row r="78" ht="23.85" customHeight="1" s="21">
      <c r="A78" s="28" t="n">
        <v>77</v>
      </c>
      <c r="B78" s="29" t="inlineStr">
        <is>
          <t>CA-RF01-7</t>
        </is>
      </c>
      <c r="C78" s="28" t="inlineStr">
        <is>
          <t>RF-01 Registro</t>
        </is>
      </c>
      <c r="D78" s="28" t="inlineStr">
        <is>
          <t>1. Registro e inicio de sesión</t>
        </is>
      </c>
      <c r="E78" s="28" t="inlineStr">
        <is>
          <t>Correo nuevo (sin cuenta)</t>
        </is>
      </c>
      <c r="F78" s="28" t="inlineStr">
        <is>
          <t>App</t>
        </is>
      </c>
      <c r="G78" s="28" t="inlineStr">
        <is>
          <t>Supabase ya mandó el máximo de correos de la hora (con el SMTP incluido son 2)</t>
        </is>
      </c>
      <c r="H78" s="28" t="inlineStr">
        <is>
          <t>Me registro con un correo nuevo</t>
        </is>
      </c>
      <c r="I78" s="28" t="inlineStr">
        <is>
          <t>Se muestra "Se enviaron demasiados correos en poco tiempo. Esperá alrededor de una hora e intentá de nuevo." y la cuenta no se crea</t>
        </is>
      </c>
      <c r="J78" s="28" t="inlineStr">
        <is>
          <t>Registrar 3 correos nuevos seguidos; el tercero tiene que mostrar el mensaje.</t>
        </is>
      </c>
      <c r="K78" s="30" t="n"/>
      <c r="L78" s="30" t="inlineStr">
        <is>
          <t>Agregado el 12/10/2026 (Registro de cambio N° 38). Gasta el cupo de correos: dejarlo para después de los casos de mail.</t>
        </is>
      </c>
      <c r="M78" s="30" t="n"/>
      <c r="N78" s="31" t="n"/>
    </row>
  </sheetData>
  <autoFilter ref="A1:N300"/>
  <conditionalFormatting sqref="K2:K300">
    <cfRule type="cellIs" rank="0" priority="2" equalAverage="0" operator="equal" aboveAverage="0" dxfId="5" text="" percent="0" bottom="0">
      <formula>"Pasa"</formula>
    </cfRule>
    <cfRule type="cellIs" rank="0" priority="3" equalAverage="0" operator="equal" aboveAverage="0" dxfId="6" text="" percent="0" bottom="0">
      <formula>"Falla"</formula>
    </cfRule>
    <cfRule type="cellIs" rank="0" priority="4" equalAverage="0" operator="equal" aboveAverage="0" dxfId="7" text="" percent="0" bottom="0">
      <formula>"Bloqueado"</formula>
    </cfRule>
  </conditionalFormatting>
  <dataValidations count="2">
    <dataValidation sqref="K2:K300" showDropDown="0" showInputMessage="0" showErrorMessage="1" allowBlank="1" errorTitle="Resultado" error="Elegí Pasa, Falla o Bloqueado." type="list" errorStyle="stop" operator="between">
      <formula1>"Pasa,Falla,Bloqueado"</formula1>
      <formula2>0</formula2>
    </dataValidation>
    <dataValidation sqref="N2:N300" showDropDown="0" showInputMessage="0" showErrorMessage="1" allowBlank="1" error="Ingresá una fecha válid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3" customWidth="1" style="20" min="2" max="7"/>
  </cols>
  <sheetData>
    <row r="1" ht="17.35" customHeight="1" s="21">
      <c r="A1" s="34" t="inlineStr">
        <is>
          <t>Resumen de avance</t>
        </is>
      </c>
    </row>
    <row r="3" ht="15" customHeight="1" s="21">
      <c r="A3" s="27" t="inlineStr">
        <is>
          <t>Total</t>
        </is>
      </c>
      <c r="B3" s="27" t="inlineStr">
        <is>
          <t>Pasa</t>
        </is>
      </c>
      <c r="C3" s="27" t="inlineStr">
        <is>
          <t>Falla</t>
        </is>
      </c>
      <c r="D3" s="27" t="inlineStr">
        <is>
          <t>Bloqueado</t>
        </is>
      </c>
      <c r="E3" s="27" t="inlineStr">
        <is>
          <t>Sin probar</t>
        </is>
      </c>
      <c r="F3" s="27" t="inlineStr">
        <is>
          <t>% aprobado</t>
        </is>
      </c>
    </row>
    <row r="4" ht="15" customHeight="1" s="21">
      <c r="A4" s="35">
        <f>COUNTA('Plan de pruebas'!$B$2:$B$300)</f>
        <v/>
      </c>
      <c r="B4" s="35">
        <f>COUNTIF('Plan de pruebas'!$K$2:$K$300,"Pasa")</f>
        <v/>
      </c>
      <c r="C4" s="35">
        <f>COUNTIF('Plan de pruebas'!$K$2:$K$300,"Falla")</f>
        <v/>
      </c>
      <c r="D4" s="35">
        <f>COUNTIF('Plan de pruebas'!$K$2:$K$300,"Bloqueado")</f>
        <v/>
      </c>
      <c r="E4" s="35">
        <f>A4-B4-C4-D4</f>
        <v/>
      </c>
      <c r="F4" s="36">
        <f>IF(A4=0,0,B4/A4)</f>
        <v/>
      </c>
    </row>
    <row r="6" ht="15" customHeight="1" s="21">
      <c r="A6" s="27" t="inlineStr">
        <is>
          <t>Requerimiento</t>
        </is>
      </c>
      <c r="B6" s="27" t="inlineStr">
        <is>
          <t>Criterios</t>
        </is>
      </c>
      <c r="C6" s="27" t="inlineStr">
        <is>
          <t>Pasa</t>
        </is>
      </c>
      <c r="D6" s="27" t="inlineStr">
        <is>
          <t>Falla</t>
        </is>
      </c>
      <c r="E6" s="27" t="inlineStr">
        <is>
          <t>Bloqueado</t>
        </is>
      </c>
      <c r="F6" s="27" t="inlineStr">
        <is>
          <t>Sin probar</t>
        </is>
      </c>
      <c r="G6" s="27" t="inlineStr">
        <is>
          <t>Estado</t>
        </is>
      </c>
    </row>
    <row r="7" ht="15" customHeight="1" s="21">
      <c r="A7" s="37" t="inlineStr">
        <is>
          <t>RF-01 Registro</t>
        </is>
      </c>
      <c r="B7" s="38">
        <f>COUNTIF('Plan de pruebas'!$C$2:$C$300,A7)</f>
        <v/>
      </c>
      <c r="C7" s="38">
        <f>COUNTIFS('Plan de pruebas'!$C$2:$C$300,$A7,'Plan de pruebas'!$K$2:$K$300,"Pasa")</f>
        <v/>
      </c>
      <c r="D7" s="38">
        <f>COUNTIFS('Plan de pruebas'!$C$2:$C$300,$A7,'Plan de pruebas'!$K$2:$K$300,"Falla")</f>
        <v/>
      </c>
      <c r="E7" s="38">
        <f>COUNTIFS('Plan de pruebas'!$C$2:$C$300,$A7,'Plan de pruebas'!$K$2:$K$300,"Bloqueado")</f>
        <v/>
      </c>
      <c r="F7" s="38">
        <f>B7-C7-D7-E7</f>
        <v/>
      </c>
      <c r="G7" s="39">
        <f>IF(C7=B7,"Cumplido",IF(D7&gt;0,"Con fallas",IF(C7+D7+E7=0,"Sin probar","En curso")))</f>
        <v/>
      </c>
    </row>
    <row r="8" ht="15" customHeight="1" s="21">
      <c r="A8" s="37" t="inlineStr">
        <is>
          <t>RF-02 Inicio de sesión</t>
        </is>
      </c>
      <c r="B8" s="38">
        <f>COUNTIF('Plan de pruebas'!$C$2:$C$300,A8)</f>
        <v/>
      </c>
      <c r="C8" s="38">
        <f>COUNTIFS('Plan de pruebas'!$C$2:$C$300,$A8,'Plan de pruebas'!$K$2:$K$300,"Pasa")</f>
        <v/>
      </c>
      <c r="D8" s="38">
        <f>COUNTIFS('Plan de pruebas'!$C$2:$C$300,$A8,'Plan de pruebas'!$K$2:$K$300,"Falla")</f>
        <v/>
      </c>
      <c r="E8" s="38">
        <f>COUNTIFS('Plan de pruebas'!$C$2:$C$300,$A8,'Plan de pruebas'!$K$2:$K$300,"Bloqueado")</f>
        <v/>
      </c>
      <c r="F8" s="38">
        <f>B8-C8-D8-E8</f>
        <v/>
      </c>
      <c r="G8" s="39">
        <f>IF(C8=B8,"Cumplido",IF(D8&gt;0,"Con fallas",IF(C8+D8+E8=0,"Sin probar","En curso")))</f>
        <v/>
      </c>
    </row>
    <row r="9" ht="15" customHeight="1" s="21">
      <c r="A9" s="37" t="inlineStr">
        <is>
          <t>RN-02 Cuentas institucionales</t>
        </is>
      </c>
      <c r="B9" s="38">
        <f>COUNTIF('Plan de pruebas'!$C$2:$C$300,A9)</f>
        <v/>
      </c>
      <c r="C9" s="38">
        <f>COUNTIFS('Plan de pruebas'!$C$2:$C$300,$A9,'Plan de pruebas'!$K$2:$K$300,"Pasa")</f>
        <v/>
      </c>
      <c r="D9" s="38">
        <f>COUNTIFS('Plan de pruebas'!$C$2:$C$300,$A9,'Plan de pruebas'!$K$2:$K$300,"Falla")</f>
        <v/>
      </c>
      <c r="E9" s="38">
        <f>COUNTIFS('Plan de pruebas'!$C$2:$C$300,$A9,'Plan de pruebas'!$K$2:$K$300,"Bloqueado")</f>
        <v/>
      </c>
      <c r="F9" s="38">
        <f>B9-C9-D9-E9</f>
        <v/>
      </c>
      <c r="G9" s="39">
        <f>IF(C9=B9,"Cumplido",IF(D9&gt;0,"Con fallas",IF(C9+D9+E9=0,"Sin probar","En curso")))</f>
        <v/>
      </c>
    </row>
    <row r="10" ht="15" customHeight="1" s="21">
      <c r="A10" s="37" t="inlineStr">
        <is>
          <t>RF-03 Crear reclamo</t>
        </is>
      </c>
      <c r="B10" s="38">
        <f>COUNTIF('Plan de pruebas'!$C$2:$C$300,A10)</f>
        <v/>
      </c>
      <c r="C10" s="38">
        <f>COUNTIFS('Plan de pruebas'!$C$2:$C$300,$A10,'Plan de pruebas'!$K$2:$K$300,"Pasa")</f>
        <v/>
      </c>
      <c r="D10" s="38">
        <f>COUNTIFS('Plan de pruebas'!$C$2:$C$300,$A10,'Plan de pruebas'!$K$2:$K$300,"Falla")</f>
        <v/>
      </c>
      <c r="E10" s="38">
        <f>COUNTIFS('Plan de pruebas'!$C$2:$C$300,$A10,'Plan de pruebas'!$K$2:$K$300,"Bloqueado")</f>
        <v/>
      </c>
      <c r="F10" s="38">
        <f>B10-C10-D10-E10</f>
        <v/>
      </c>
      <c r="G10" s="39">
        <f>IF(C10=B10,"Cumplido",IF(D10&gt;0,"Con fallas",IF(C10+D10+E10=0,"Sin probar","En curso")))</f>
        <v/>
      </c>
    </row>
    <row r="11" ht="15" customHeight="1" s="21">
      <c r="A11" s="37" t="inlineStr">
        <is>
          <t>RF-04 Confirmación</t>
        </is>
      </c>
      <c r="B11" s="38">
        <f>COUNTIF('Plan de pruebas'!$C$2:$C$300,A11)</f>
        <v/>
      </c>
      <c r="C11" s="38">
        <f>COUNTIFS('Plan de pruebas'!$C$2:$C$300,$A11,'Plan de pruebas'!$K$2:$K$300,"Pasa")</f>
        <v/>
      </c>
      <c r="D11" s="38">
        <f>COUNTIFS('Plan de pruebas'!$C$2:$C$300,$A11,'Plan de pruebas'!$K$2:$K$300,"Falla")</f>
        <v/>
      </c>
      <c r="E11" s="38">
        <f>COUNTIFS('Plan de pruebas'!$C$2:$C$300,$A11,'Plan de pruebas'!$K$2:$K$300,"Bloqueado")</f>
        <v/>
      </c>
      <c r="F11" s="38">
        <f>B11-C11-D11-E11</f>
        <v/>
      </c>
      <c r="G11" s="39">
        <f>IF(C11=B11,"Cumplido",IF(D11&gt;0,"Con fallas",IF(C11+D11+E11=0,"Sin probar","En curso")))</f>
        <v/>
      </c>
    </row>
    <row r="12" ht="15" customHeight="1" s="21">
      <c r="A12" s="37" t="inlineStr">
        <is>
          <t>RF-05 Inicio y Mis reportes</t>
        </is>
      </c>
      <c r="B12" s="38">
        <f>COUNTIF('Plan de pruebas'!$C$2:$C$300,A12)</f>
        <v/>
      </c>
      <c r="C12" s="38">
        <f>COUNTIFS('Plan de pruebas'!$C$2:$C$300,$A12,'Plan de pruebas'!$K$2:$K$300,"Pasa")</f>
        <v/>
      </c>
      <c r="D12" s="38">
        <f>COUNTIFS('Plan de pruebas'!$C$2:$C$300,$A12,'Plan de pruebas'!$K$2:$K$300,"Falla")</f>
        <v/>
      </c>
      <c r="E12" s="38">
        <f>COUNTIFS('Plan de pruebas'!$C$2:$C$300,$A12,'Plan de pruebas'!$K$2:$K$300,"Bloqueado")</f>
        <v/>
      </c>
      <c r="F12" s="38">
        <f>B12-C12-D12-E12</f>
        <v/>
      </c>
      <c r="G12" s="39">
        <f>IF(C12=B12,"Cumplido",IF(D12&gt;0,"Con fallas",IF(C12+D12+E12=0,"Sin probar","En curso")))</f>
        <v/>
      </c>
    </row>
    <row r="13" ht="15" customHeight="1" s="21">
      <c r="A13" s="37" t="inlineStr">
        <is>
          <t>RF-06 Ajustes</t>
        </is>
      </c>
      <c r="B13" s="38">
        <f>COUNTIF('Plan de pruebas'!$C$2:$C$300,A13)</f>
        <v/>
      </c>
      <c r="C13" s="38">
        <f>COUNTIFS('Plan de pruebas'!$C$2:$C$300,$A13,'Plan de pruebas'!$K$2:$K$300,"Pasa")</f>
        <v/>
      </c>
      <c r="D13" s="38">
        <f>COUNTIFS('Plan de pruebas'!$C$2:$C$300,$A13,'Plan de pruebas'!$K$2:$K$300,"Falla")</f>
        <v/>
      </c>
      <c r="E13" s="38">
        <f>COUNTIFS('Plan de pruebas'!$C$2:$C$300,$A13,'Plan de pruebas'!$K$2:$K$300,"Bloqueado")</f>
        <v/>
      </c>
      <c r="F13" s="38">
        <f>B13-C13-D13-E13</f>
        <v/>
      </c>
      <c r="G13" s="39">
        <f>IF(C13=B13,"Cumplido",IF(D13&gt;0,"Con fallas",IF(C13+D13+E13=0,"Sin probar","En curso")))</f>
        <v/>
      </c>
    </row>
    <row r="14" ht="15" customHeight="1" s="21">
      <c r="A14" s="37" t="inlineStr">
        <is>
          <t>RF-07 Modo sin conexión</t>
        </is>
      </c>
      <c r="B14" s="38">
        <f>COUNTIF('Plan de pruebas'!$C$2:$C$300,A14)</f>
        <v/>
      </c>
      <c r="C14" s="38">
        <f>COUNTIFS('Plan de pruebas'!$C$2:$C$300,$A14,'Plan de pruebas'!$K$2:$K$300,"Pasa")</f>
        <v/>
      </c>
      <c r="D14" s="38">
        <f>COUNTIFS('Plan de pruebas'!$C$2:$C$300,$A14,'Plan de pruebas'!$K$2:$K$300,"Falla")</f>
        <v/>
      </c>
      <c r="E14" s="38">
        <f>COUNTIFS('Plan de pruebas'!$C$2:$C$300,$A14,'Plan de pruebas'!$K$2:$K$300,"Bloqueado")</f>
        <v/>
      </c>
      <c r="F14" s="38">
        <f>B14-C14-D14-E14</f>
        <v/>
      </c>
      <c r="G14" s="39">
        <f>IF(C14=B14,"Cumplido",IF(D14&gt;0,"Con fallas",IF(C14+D14+E14=0,"Sin probar","En curso")))</f>
        <v/>
      </c>
    </row>
    <row r="15" ht="15" customHeight="1" s="21">
      <c r="A15" s="37" t="inlineStr">
        <is>
          <t>RF-10 Acceso por rol</t>
        </is>
      </c>
      <c r="B15" s="38">
        <f>COUNTIF('Plan de pruebas'!$C$2:$C$300,A15)</f>
        <v/>
      </c>
      <c r="C15" s="38">
        <f>COUNTIFS('Plan de pruebas'!$C$2:$C$300,$A15,'Plan de pruebas'!$K$2:$K$300,"Pasa")</f>
        <v/>
      </c>
      <c r="D15" s="38">
        <f>COUNTIFS('Plan de pruebas'!$C$2:$C$300,$A15,'Plan de pruebas'!$K$2:$K$300,"Falla")</f>
        <v/>
      </c>
      <c r="E15" s="38">
        <f>COUNTIFS('Plan de pruebas'!$C$2:$C$300,$A15,'Plan de pruebas'!$K$2:$K$300,"Bloqueado")</f>
        <v/>
      </c>
      <c r="F15" s="38">
        <f>B15-C15-D15-E15</f>
        <v/>
      </c>
      <c r="G15" s="39">
        <f>IF(C15=B15,"Cumplido",IF(D15&gt;0,"Con fallas",IF(C15+D15+E15=0,"Sin probar","En curso")))</f>
        <v/>
      </c>
    </row>
    <row r="16" ht="15" customHeight="1" s="21">
      <c r="A16" s="37" t="inlineStr">
        <is>
          <t>RF-11 Bandeja de reclamos</t>
        </is>
      </c>
      <c r="B16" s="38">
        <f>COUNTIF('Plan de pruebas'!$C$2:$C$300,A16)</f>
        <v/>
      </c>
      <c r="C16" s="38">
        <f>COUNTIFS('Plan de pruebas'!$C$2:$C$300,$A16,'Plan de pruebas'!$K$2:$K$300,"Pasa")</f>
        <v/>
      </c>
      <c r="D16" s="38">
        <f>COUNTIFS('Plan de pruebas'!$C$2:$C$300,$A16,'Plan de pruebas'!$K$2:$K$300,"Falla")</f>
        <v/>
      </c>
      <c r="E16" s="38">
        <f>COUNTIFS('Plan de pruebas'!$C$2:$C$300,$A16,'Plan de pruebas'!$K$2:$K$300,"Bloqueado")</f>
        <v/>
      </c>
      <c r="F16" s="38">
        <f>B16-C16-D16-E16</f>
        <v/>
      </c>
      <c r="G16" s="39">
        <f>IF(C16=B16,"Cumplido",IF(D16&gt;0,"Con fallas",IF(C16+D16+E16=0,"Sin probar","En curso")))</f>
        <v/>
      </c>
    </row>
    <row r="17" ht="15" customHeight="1" s="21">
      <c r="A17" s="37" t="inlineStr">
        <is>
          <t>RF-13 Detalle del reclamo</t>
        </is>
      </c>
      <c r="B17" s="38">
        <f>COUNTIF('Plan de pruebas'!$C$2:$C$300,A17)</f>
        <v/>
      </c>
      <c r="C17" s="38">
        <f>COUNTIFS('Plan de pruebas'!$C$2:$C$300,$A17,'Plan de pruebas'!$K$2:$K$300,"Pasa")</f>
        <v/>
      </c>
      <c r="D17" s="38">
        <f>COUNTIFS('Plan de pruebas'!$C$2:$C$300,$A17,'Plan de pruebas'!$K$2:$K$300,"Falla")</f>
        <v/>
      </c>
      <c r="E17" s="38">
        <f>COUNTIFS('Plan de pruebas'!$C$2:$C$300,$A17,'Plan de pruebas'!$K$2:$K$300,"Bloqueado")</f>
        <v/>
      </c>
      <c r="F17" s="38">
        <f>B17-C17-D17-E17</f>
        <v/>
      </c>
      <c r="G17" s="39">
        <f>IF(C17=B17,"Cumplido",IF(D17&gt;0,"Con fallas",IF(C17+D17+E17=0,"Sin probar","En curso")))</f>
        <v/>
      </c>
    </row>
    <row r="18" ht="15" customHeight="1" s="21">
      <c r="A18" s="37" t="inlineStr">
        <is>
          <t>RF-14 Cambio de estado</t>
        </is>
      </c>
      <c r="B18" s="38">
        <f>COUNTIF('Plan de pruebas'!$C$2:$C$300,A18)</f>
        <v/>
      </c>
      <c r="C18" s="38">
        <f>COUNTIFS('Plan de pruebas'!$C$2:$C$300,$A18,'Plan de pruebas'!$K$2:$K$300,"Pasa")</f>
        <v/>
      </c>
      <c r="D18" s="38">
        <f>COUNTIFS('Plan de pruebas'!$C$2:$C$300,$A18,'Plan de pruebas'!$K$2:$K$300,"Falla")</f>
        <v/>
      </c>
      <c r="E18" s="38">
        <f>COUNTIFS('Plan de pruebas'!$C$2:$C$300,$A18,'Plan de pruebas'!$K$2:$K$300,"Bloqueado")</f>
        <v/>
      </c>
      <c r="F18" s="38">
        <f>B18-C18-D18-E18</f>
        <v/>
      </c>
      <c r="G18" s="39">
        <f>IF(C18=B18,"Cumplido",IF(D18&gt;0,"Con fallas",IF(C18+D18+E18=0,"Sin probar","En curso")))</f>
        <v/>
      </c>
    </row>
    <row r="19" ht="15" customHeight="1" s="21">
      <c r="A19" s="37" t="inlineStr">
        <is>
          <t>RF-15 Seguimiento</t>
        </is>
      </c>
      <c r="B19" s="38">
        <f>COUNTIF('Plan de pruebas'!$C$2:$C$300,A19)</f>
        <v/>
      </c>
      <c r="C19" s="38">
        <f>COUNTIFS('Plan de pruebas'!$C$2:$C$300,$A19,'Plan de pruebas'!$K$2:$K$300,"Pasa")</f>
        <v/>
      </c>
      <c r="D19" s="38">
        <f>COUNTIFS('Plan de pruebas'!$C$2:$C$300,$A19,'Plan de pruebas'!$K$2:$K$300,"Falla")</f>
        <v/>
      </c>
      <c r="E19" s="38">
        <f>COUNTIFS('Plan de pruebas'!$C$2:$C$300,$A19,'Plan de pruebas'!$K$2:$K$300,"Bloqueado")</f>
        <v/>
      </c>
      <c r="F19" s="38">
        <f>B19-C19-D19-E19</f>
        <v/>
      </c>
      <c r="G19" s="39">
        <f>IF(C19=B19,"Cumplido",IF(D19&gt;0,"Con fallas",IF(C19+D19+E19=0,"Sin probar","En curso")))</f>
        <v/>
      </c>
    </row>
    <row r="20" ht="15" customHeight="1" s="21">
      <c r="A20" s="37" t="inlineStr">
        <is>
          <t>RF-18 Asignación automática</t>
        </is>
      </c>
      <c r="B20" s="38">
        <f>COUNTIF('Plan de pruebas'!$C$2:$C$300,A20)</f>
        <v/>
      </c>
      <c r="C20" s="38">
        <f>COUNTIFS('Plan de pruebas'!$C$2:$C$300,$A20,'Plan de pruebas'!$K$2:$K$300,"Pasa")</f>
        <v/>
      </c>
      <c r="D20" s="38">
        <f>COUNTIFS('Plan de pruebas'!$C$2:$C$300,$A20,'Plan de pruebas'!$K$2:$K$300,"Falla")</f>
        <v/>
      </c>
      <c r="E20" s="38">
        <f>COUNTIFS('Plan de pruebas'!$C$2:$C$300,$A20,'Plan de pruebas'!$K$2:$K$300,"Bloqueado")</f>
        <v/>
      </c>
      <c r="F20" s="38">
        <f>B20-C20-D20-E20</f>
        <v/>
      </c>
      <c r="G20" s="39">
        <f>IF(C20=B20,"Cumplido",IF(D20&gt;0,"Con fallas",IF(C20+D20+E20=0,"Sin probar","En curso")))</f>
        <v/>
      </c>
    </row>
    <row r="21" ht="15" customHeight="1" s="21">
      <c r="A21" s="37" t="inlineStr">
        <is>
          <t>RF-25 Suscripción por línea</t>
        </is>
      </c>
      <c r="B21" s="38">
        <f>COUNTIF('Plan de pruebas'!$C$2:$C$300,A21)</f>
        <v/>
      </c>
      <c r="C21" s="38">
        <f>COUNTIFS('Plan de pruebas'!$C$2:$C$300,$A21,'Plan de pruebas'!$K$2:$K$300,"Pasa")</f>
        <v/>
      </c>
      <c r="D21" s="38">
        <f>COUNTIFS('Plan de pruebas'!$C$2:$C$300,$A21,'Plan de pruebas'!$K$2:$K$300,"Falla")</f>
        <v/>
      </c>
      <c r="E21" s="38">
        <f>COUNTIFS('Plan de pruebas'!$C$2:$C$300,$A21,'Plan de pruebas'!$K$2:$K$300,"Bloqueado")</f>
        <v/>
      </c>
      <c r="F21" s="38">
        <f>B21-C21-D21-E21</f>
        <v/>
      </c>
      <c r="G21" s="39">
        <f>IF(C21=B21,"Cumplido",IF(D21&gt;0,"Con fallas",IF(C21+D21+E21=0,"Sin probar","En curso")))</f>
        <v/>
      </c>
    </row>
    <row r="22" ht="15" customHeight="1" s="21">
      <c r="A22" s="37" t="inlineStr">
        <is>
          <t>RF-19 Historial inmutable</t>
        </is>
      </c>
      <c r="B22" s="38">
        <f>COUNTIF('Plan de pruebas'!$C$2:$C$300,A22)</f>
        <v/>
      </c>
      <c r="C22" s="38">
        <f>COUNTIFS('Plan de pruebas'!$C$2:$C$300,$A22,'Plan de pruebas'!$K$2:$K$300,"Pasa")</f>
        <v/>
      </c>
      <c r="D22" s="38">
        <f>COUNTIFS('Plan de pruebas'!$C$2:$C$300,$A22,'Plan de pruebas'!$K$2:$K$300,"Falla")</f>
        <v/>
      </c>
      <c r="E22" s="38">
        <f>COUNTIFS('Plan de pruebas'!$C$2:$C$300,$A22,'Plan de pruebas'!$K$2:$K$300,"Bloqueado")</f>
        <v/>
      </c>
      <c r="F22" s="38">
        <f>B22-C22-D22-E22</f>
        <v/>
      </c>
      <c r="G22" s="39">
        <f>IF(C22=B22,"Cumplido",IF(D22&gt;0,"Con fallas",IF(C22+D22+E22=0,"Sin probar","En curso")))</f>
        <v/>
      </c>
    </row>
    <row r="23" ht="15" customHeight="1" s="21">
      <c r="A23" s="37" t="inlineStr">
        <is>
          <t>RNF-01 Seguridad por rol</t>
        </is>
      </c>
      <c r="B23" s="38">
        <f>COUNTIF('Plan de pruebas'!$C$2:$C$300,A23)</f>
        <v/>
      </c>
      <c r="C23" s="38">
        <f>COUNTIFS('Plan de pruebas'!$C$2:$C$300,$A23,'Plan de pruebas'!$K$2:$K$300,"Pasa")</f>
        <v/>
      </c>
      <c r="D23" s="38">
        <f>COUNTIFS('Plan de pruebas'!$C$2:$C$300,$A23,'Plan de pruebas'!$K$2:$K$300,"Falla")</f>
        <v/>
      </c>
      <c r="E23" s="38">
        <f>COUNTIFS('Plan de pruebas'!$C$2:$C$300,$A23,'Plan de pruebas'!$K$2:$K$300,"Bloqueado")</f>
        <v/>
      </c>
      <c r="F23" s="38">
        <f>B23-C23-D23-E23</f>
        <v/>
      </c>
      <c r="G23" s="39">
        <f>IF(C23=B23,"Cumplido",IF(D23&gt;0,"Con fallas",IF(C23+D23+E23=0,"Sin probar","En curso")))</f>
        <v/>
      </c>
    </row>
    <row r="24" ht="15" customHeight="1" s="21">
      <c r="A24" s="37" t="inlineStr">
        <is>
          <t>RNF-06 Accesibilidad</t>
        </is>
      </c>
      <c r="B24" s="38">
        <f>COUNTIF('Plan de pruebas'!$C$2:$C$300,A24)</f>
        <v/>
      </c>
      <c r="C24" s="38">
        <f>COUNTIFS('Plan de pruebas'!$C$2:$C$300,$A24,'Plan de pruebas'!$K$2:$K$300,"Pasa")</f>
        <v/>
      </c>
      <c r="D24" s="38">
        <f>COUNTIFS('Plan de pruebas'!$C$2:$C$300,$A24,'Plan de pruebas'!$K$2:$K$300,"Falla")</f>
        <v/>
      </c>
      <c r="E24" s="38">
        <f>COUNTIFS('Plan de pruebas'!$C$2:$C$300,$A24,'Plan de pruebas'!$K$2:$K$300,"Bloqueado")</f>
        <v/>
      </c>
      <c r="F24" s="38">
        <f>B24-C24-D24-E24</f>
        <v/>
      </c>
      <c r="G24" s="39">
        <f>IF(C24=B24,"Cumplido",IF(D24&gt;0,"Con fallas",IF(C24+D24+E24=0,"Sin probar","En curso")))</f>
        <v/>
      </c>
    </row>
    <row r="26" ht="15" customHeight="1" s="21">
      <c r="A26" s="40" t="inlineStr">
        <is>
          <t>Se calcula solo a partir de la hoja "Plan de pruebas". No editar.</t>
        </is>
      </c>
    </row>
  </sheetData>
  <conditionalFormatting sqref="G7:G24">
    <cfRule type="cellIs" rank="0" priority="2" equalAverage="0" operator="equal" aboveAverage="0" dxfId="5" text="" percent="0" bottom="0">
      <formula>"Cumplido"</formula>
    </cfRule>
    <cfRule type="cellIs" rank="0" priority="3" equalAverage="0" operator="equal" aboveAverage="0" dxfId="6" text="" percent="0" bottom="0">
      <formula>"Con fallas"</formula>
    </cfRule>
    <cfRule type="cellIs" rank="0" priority="4" equalAverage="0" operator="equal" aboveAverage="0" dxfId="7" text="" percent="0" bottom="0">
      <formula>"En curso"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2026-10-05T22:16:02Z</dcterms:created>
  <dcterms:modified xsi:type="dcterms:W3CDTF">2026-10-12T14:43:08Z</dcterms:modified>
  <cp:revision>0</cp:revision>
</cp:coreProperties>
</file>