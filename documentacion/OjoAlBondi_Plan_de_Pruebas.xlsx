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Instrucciones" sheetId="1" state="visible" r:id="rId1"/>
    <sheet name="Plan de pruebas" sheetId="2" state="visible" r:id="rId2"/>
    <sheet name="Resumen" sheetId="3" state="visible" r:id="rId3"/>
  </sheets>
  <definedNames>
    <definedName name="_xlnm._FilterDatabase" localSheetId="1" hidden="1">'Plan de pruebas'!$A$1:$N$300</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173A67"/>
      <sz val="15"/>
    </font>
    <font>
      <name val="Arial"/>
      <charset val="1"/>
      <family val="0"/>
      <color rgb="FF5B6B7C"/>
      <sz val="10"/>
    </font>
    <font>
      <name val="Arial"/>
      <charset val="1"/>
      <family val="0"/>
      <b val="1"/>
      <color rgb="FF173A67"/>
      <sz val="12"/>
    </font>
    <font>
      <name val="Arial"/>
      <charset val="1"/>
      <family val="0"/>
      <sz val="10"/>
    </font>
    <font>
      <name val="Arial"/>
      <charset val="1"/>
      <family val="0"/>
      <b val="1"/>
      <color rgb="FFFFFFFF"/>
      <sz val="10"/>
    </font>
    <font>
      <name val="Arial"/>
      <charset val="1"/>
      <family val="0"/>
      <sz val="9.5"/>
    </font>
    <font>
      <name val="Arial"/>
      <charset val="1"/>
      <family val="0"/>
      <b val="1"/>
      <sz val="9.5"/>
    </font>
    <font>
      <name val="Arial"/>
      <charset val="1"/>
      <family val="0"/>
      <b val="1"/>
      <color rgb="FF173A67"/>
      <sz val="14"/>
    </font>
    <font>
      <name val="Arial"/>
      <charset val="1"/>
      <family val="0"/>
      <b val="1"/>
      <sz val="12"/>
    </font>
    <font>
      <name val="Arial"/>
      <charset val="1"/>
      <family val="0"/>
      <b val="1"/>
      <sz val="10"/>
    </font>
    <font>
      <name val="Arial"/>
      <charset val="1"/>
      <family val="0"/>
      <i val="1"/>
      <color rgb="FF5B6B7C"/>
      <sz val="9"/>
    </font>
  </fonts>
  <fills count="5">
    <fill>
      <patternFill/>
    </fill>
    <fill>
      <patternFill patternType="gray125"/>
    </fill>
    <fill>
      <patternFill patternType="solid">
        <fgColor rgb="FF173A67"/>
        <bgColor rgb="FF333399"/>
      </patternFill>
    </fill>
    <fill>
      <patternFill patternType="solid">
        <fgColor rgb="FFF1F4F8"/>
        <bgColor rgb="FFE6F7EE"/>
      </patternFill>
    </fill>
    <fill>
      <patternFill patternType="solid">
        <fgColor rgb="FFFFF6CC"/>
        <bgColor rgb="FFFFF6DF"/>
      </patternFill>
    </fill>
  </fills>
  <borders count="2">
    <border>
      <left/>
      <right/>
      <top/>
      <bottom/>
      <diagonal/>
    </border>
    <border>
      <left style="thin">
        <color rgb="FFBFC8D4"/>
      </left>
      <right style="thin">
        <color rgb="FFBFC8D4"/>
      </right>
      <top style="thin">
        <color rgb="FFBFC8D4"/>
      </top>
      <bottom style="thin">
        <color rgb="FFBFC8D4"/>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1">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center" vertical="center" wrapText="1"/>
    </xf>
    <xf numFmtId="0" fontId="9" fillId="3" borderId="1" applyAlignment="1" pivotButton="0" quotePrefix="0" xfId="0">
      <alignment horizontal="general" vertical="top" wrapText="1"/>
    </xf>
    <xf numFmtId="0" fontId="10" fillId="3" borderId="1" applyAlignment="1" pivotButton="0" quotePrefix="0" xfId="0">
      <alignment horizontal="general" vertical="top" wrapText="1"/>
    </xf>
    <xf numFmtId="0" fontId="9" fillId="4" borderId="1" applyAlignment="1" pivotButton="0" quotePrefix="0" xfId="0">
      <alignment horizontal="general" vertical="top" wrapText="1"/>
    </xf>
    <xf numFmtId="164" fontId="9" fillId="4"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1" fillId="0" borderId="0" applyAlignment="1" pivotButton="0" quotePrefix="0" xfId="0">
      <alignment horizontal="general" vertical="bottom"/>
    </xf>
    <xf numFmtId="0" fontId="12" fillId="0" borderId="1" applyAlignment="1" pivotButton="0" quotePrefix="0" xfId="0">
      <alignment horizontal="center" vertical="bottom"/>
    </xf>
    <xf numFmtId="9" fontId="12" fillId="0" borderId="1" applyAlignment="1" pivotButton="0" quotePrefix="0" xfId="0">
      <alignment horizontal="center" vertical="bottom"/>
    </xf>
    <xf numFmtId="0" fontId="13" fillId="0" borderId="1" applyAlignment="1" pivotButton="0" quotePrefix="0" xfId="0">
      <alignment horizontal="left" vertical="bottom"/>
    </xf>
    <xf numFmtId="0" fontId="7" fillId="0" borderId="1" applyAlignment="1" pivotButton="0" quotePrefix="0" xfId="0">
      <alignment horizontal="center" vertical="bottom"/>
    </xf>
    <xf numFmtId="0" fontId="13" fillId="0" borderId="1" applyAlignment="1" pivotButton="0" quotePrefix="0" xfId="0">
      <alignment horizontal="center" vertical="bottom"/>
    </xf>
    <xf numFmtId="0" fontId="1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center" vertical="center" wrapText="1"/>
    </xf>
    <xf numFmtId="0" fontId="9" fillId="3" borderId="1" applyAlignment="1" pivotButton="0" quotePrefix="0" xfId="0">
      <alignment horizontal="general" vertical="top" wrapText="1"/>
    </xf>
    <xf numFmtId="0" fontId="10" fillId="3" borderId="1" applyAlignment="1" pivotButton="0" quotePrefix="0" xfId="0">
      <alignment horizontal="general" vertical="top" wrapText="1"/>
    </xf>
    <xf numFmtId="0" fontId="9" fillId="4" borderId="1" applyAlignment="1" pivotButton="0" quotePrefix="0" xfId="0">
      <alignment horizontal="general" vertical="top" wrapText="1"/>
    </xf>
    <xf numFmtId="164" fontId="9" fillId="4"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1" fillId="0" borderId="0" applyAlignment="1" pivotButton="0" quotePrefix="0" xfId="0">
      <alignment horizontal="general" vertical="bottom"/>
    </xf>
    <xf numFmtId="0" fontId="12" fillId="0" borderId="1" applyAlignment="1" pivotButton="0" quotePrefix="0" xfId="0">
      <alignment horizontal="center" vertical="bottom"/>
    </xf>
    <xf numFmtId="9" fontId="12" fillId="0" borderId="1" applyAlignment="1" pivotButton="0" quotePrefix="0" xfId="0">
      <alignment horizontal="center" vertical="bottom"/>
    </xf>
    <xf numFmtId="0" fontId="13" fillId="0" borderId="1" applyAlignment="1" pivotButton="0" quotePrefix="0" xfId="0">
      <alignment horizontal="left" vertical="bottom"/>
    </xf>
    <xf numFmtId="0" fontId="7" fillId="0" borderId="1" applyAlignment="1" pivotButton="0" quotePrefix="0" xfId="0">
      <alignment horizontal="center" vertical="bottom"/>
    </xf>
    <xf numFmtId="0" fontId="13" fillId="0" borderId="1" applyAlignment="1" pivotButton="0" quotePrefix="0" xfId="0">
      <alignment horizontal="center" vertical="bottom"/>
    </xf>
    <xf numFmtId="0" fontId="14"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173A67"/>
          <bgColor rgb="FF000000"/>
        </patternFill>
      </fill>
    </dxf>
    <dxf>
      <fill>
        <patternFill patternType="solid">
          <fgColor rgb="FFF1F4F8"/>
          <bgColor rgb="FF000000"/>
        </patternFill>
      </fill>
    </dxf>
    <dxf>
      <fill>
        <patternFill patternType="solid">
          <bgColor rgb="FF000000"/>
        </patternFill>
      </fill>
    </dxf>
    <dxf>
      <fill>
        <patternFill patternType="solid">
          <fgColor rgb="FFFFFFFF"/>
          <bgColor rgb="FF000000"/>
        </patternFill>
      </fill>
    </dxf>
    <dxf>
      <fill>
        <patternFill patternType="solid">
          <fgColor rgb="FFFFF6CC"/>
          <bgColor rgb="FF000000"/>
        </patternFill>
      </fill>
    </dxf>
    <dxf>
      <font>
        <name val="Arial"/>
        <charset val="1"/>
        <family val="0"/>
        <b val="1"/>
        <color rgb="FF1E7A4E"/>
      </font>
      <fill>
        <patternFill>
          <bgColor rgb="FFE6F7EE"/>
        </patternFill>
      </fill>
    </dxf>
    <dxf>
      <font>
        <name val="Arial"/>
        <charset val="1"/>
        <family val="0"/>
        <b val="1"/>
        <color rgb="FFC62828"/>
      </font>
      <fill>
        <patternFill>
          <bgColor rgb="FFFDEAEA"/>
        </patternFill>
      </fill>
    </dxf>
    <dxf>
      <font>
        <name val="Arial"/>
        <charset val="1"/>
        <family val="0"/>
        <b val="1"/>
        <color rgb="FF8A6500"/>
      </font>
      <fill>
        <patternFill>
          <bgColor rgb="FFFFF6D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6500"/>
      <rgbColor rgb="FF800080"/>
      <rgbColor rgb="FF1E7A4E"/>
      <rgbColor rgb="FFBFC8D4"/>
      <rgbColor rgb="FF808080"/>
      <rgbColor rgb="FF9999FF"/>
      <rgbColor rgb="FF993366"/>
      <rgbColor rgb="FFFFF6CC"/>
      <rgbColor rgb="FFE6F7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1F4F8"/>
      <rgbColor rgb="FFFDEAEA"/>
      <rgbColor rgb="FFFFF6DF"/>
      <rgbColor rgb="FF99CCFF"/>
      <rgbColor rgb="FFFF99CC"/>
      <rgbColor rgb="FFCC99FF"/>
      <rgbColor rgb="FFFFCC99"/>
      <rgbColor rgb="FF3366FF"/>
      <rgbColor rgb="FF33CCCC"/>
      <rgbColor rgb="FF99CC00"/>
      <rgbColor rgb="FFFFCC00"/>
      <rgbColor rgb="FFFF9900"/>
      <rgbColor rgb="FFFF6600"/>
      <rgbColor rgb="FF5B6B7C"/>
      <rgbColor rgb="FF969696"/>
      <rgbColor rgb="FF173A67"/>
      <rgbColor rgb="FF339966"/>
      <rgbColor rgb="FF003300"/>
      <rgbColor rgb="FF333300"/>
      <rgbColor rgb="FFC62828"/>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1:B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0" min="1" max="1"/>
    <col width="118" customWidth="1" style="20" min="2" max="2"/>
  </cols>
  <sheetData>
    <row r="1" ht="18.55" customHeight="1" s="21">
      <c r="B1" s="22" t="inlineStr">
        <is>
          <t>OjoAlBondi — Plan de pruebas (Etapa 1, RF-25 y beta)</t>
        </is>
      </c>
    </row>
    <row r="2" ht="15" customHeight="1" s="21">
      <c r="B2" s="23" t="inlineStr">
        <is>
          <t>59 criterios de aceptación: los 56 de la Especificación vigente v10, ordenados para ejecutarse en secuencia, más los agregados desde el 11/10/2026 al final de la lista.</t>
        </is>
      </c>
    </row>
    <row r="3" ht="15" customHeight="1" s="21">
      <c r="B3" s="24" t="n"/>
    </row>
    <row r="4" ht="15" customHeight="1" s="21">
      <c r="B4" s="25" t="inlineStr">
        <is>
          <t>Antes de empezar</t>
        </is>
      </c>
    </row>
    <row r="5" ht="15" customHeight="1" s="21">
      <c r="B5" s="26" t="inlineStr">
        <is>
          <t>1. Base de datos actualizada (migraciones 004 a 006, o instalación completa) y paradas cargadas. CA-RNF01-3 necesita la migración 006.</t>
        </is>
      </c>
    </row>
    <row r="6" ht="15" customHeight="1" s="21">
      <c r="B6" s="26" t="inlineStr">
        <is>
          <t>2. Datos de prueba cargados:  npm run datos-prueba:borrar  y luego  npm run datos-prueba  (desde ojoalbondi-backend).</t>
        </is>
      </c>
    </row>
    <row r="7" ht="15" customHeight="1" s="21">
      <c r="B7" s="26" t="inlineStr">
        <is>
          <t>3. "Confirm email" desactivado en Supabase. App abierta en Expo Go (SDK 57) con el .env del proyecto.</t>
        </is>
      </c>
    </row>
    <row r="8" ht="15" customHeight="1" s="21">
      <c r="B8" s="24" t="n"/>
    </row>
    <row r="9" ht="15" customHeight="1" s="21">
      <c r="B9" s="25" t="inlineStr">
        <is>
          <t>Cuentas de prueba (contraseña Prueba123!)</t>
        </is>
      </c>
    </row>
    <row r="10" ht="15" customHeight="1" s="21">
      <c r="B10" s="26" t="inlineStr">
        <is>
          <t>• vecino1@prueba.ojoalbondi … vecino8@prueba.ojoalbondi → ciudadanos con reclamos cargados.</t>
        </is>
      </c>
    </row>
    <row r="11" ht="15" customHeight="1" s="21">
      <c r="B11" s="26" t="inlineStr">
        <is>
          <t>• tratado@prueba.ojoalbondi → Tratado del Pilar: suscripción activa a la 501 (opera también la 503, sin suscripción).</t>
        </is>
      </c>
    </row>
    <row r="12" ht="15" customHeight="1" s="21">
      <c r="B12" s="26" t="inlineStr">
        <is>
          <t>• pilarbus@prueba.ojoalbondi → Pilar Bus: suscripción activa a la 510.</t>
        </is>
      </c>
    </row>
    <row r="13" ht="15" customHeight="1" s="21">
      <c r="B13" s="26" t="inlineStr">
        <is>
          <t>• municipio@prueba.ojoalbondi → ve todas las líneas.</t>
        </is>
      </c>
    </row>
    <row r="14" ht="15" customHeight="1" s="21">
      <c r="B14" s="24" t="n"/>
    </row>
    <row r="15" ht="15" customHeight="1" s="21">
      <c r="B15" s="25" t="inlineStr">
        <is>
          <t>Cómo registrar los resultados</t>
        </is>
      </c>
    </row>
    <row r="16" ht="15" customHeight="1" s="21">
      <c r="B16" s="26" t="inlineStr">
        <is>
          <t>• Completar solo las celdas amarillas de la hoja "Plan de pruebas": Resultado (lista), Observaciones, Probado por y Fecha.</t>
        </is>
      </c>
    </row>
    <row r="17" ht="23.85" customHeight="1" s="21">
      <c r="B17" s="26" t="inlineStr">
        <is>
          <t>• Pasa: el resultado coincide con "Entonces".  Falla: no coincide (describir qué pasó en Observaciones).  Bloqueado: no se pudo probar (explicar por qué).</t>
        </is>
      </c>
    </row>
    <row r="18" ht="15" customHeight="1" s="21">
      <c r="B18" s="26" t="inlineStr">
        <is>
          <t>• Cada falla se corrige y se documenta con su Registro de cambio; después se vuelve a probar y se actualiza el resultado.</t>
        </is>
      </c>
    </row>
    <row r="19" ht="15" customHeight="1" s="21">
      <c r="B19" s="26" t="inlineStr">
        <is>
          <t>• La hoja "Resumen" muestra el avance automáticamente.</t>
        </is>
      </c>
    </row>
    <row r="20" ht="15" customHeight="1" s="21">
      <c r="B20" s="24" t="n"/>
    </row>
    <row r="21" ht="15" customHeight="1" s="21">
      <c r="B21" s="25" t="inlineStr">
        <is>
          <t>Pruebas de tipo "Base de datos"</t>
        </is>
      </c>
    </row>
    <row r="22" ht="15" customHeight="1" s="21">
      <c r="B22" s="26" t="inlineStr">
        <is>
          <t>• Verifican que la seguridad esté en la base y no solo en la app. Se hacen en Supabase &gt; SQL Editor con el SQL de la columna "Cómo probarlo".</t>
        </is>
      </c>
    </row>
    <row r="23" ht="23.85" customHeight="1" s="21">
      <c r="B23" s="26" t="inlineStr">
        <is>
          <t>• "Como &lt;cuenta&gt;": ejecutar la consulta en nombre de ese usuario, usando la opción para elegir el rol o impersonar un usuario del SQL Editor (rol authenticated + la cuenta). Si el panel no la ofrece, avisar: se puede resolver con un script.</t>
        </is>
      </c>
    </row>
    <row r="24" ht="15" customHeight="1" s="21">
      <c r="B24" s="26" t="inlineStr">
        <is>
          <t>• "Administrador": ejecutar la consulta normalmente en el SQL Editor.</t>
        </is>
      </c>
    </row>
    <row r="25" ht="15" customHeight="1" s="21">
      <c r="B25" s="26" t="inlineStr">
        <is>
          <t>• Los &lt;id&gt; se obtienen con consultas como: select id, ticket, estado from reclamos where linea = '501' limit 5;</t>
        </is>
      </c>
    </row>
    <row r="26" ht="15" customHeight="1" s="21">
      <c r="B26" s="26" t="inlineStr">
        <is>
          <t>• Al terminar CA-RF25-3 a CA-RF25-5, la suscripción de prueba de la 503 queda suspendida: no afecta las demás pruebas.</t>
        </is>
      </c>
    </row>
    <row r="28" s="21">
      <c r="B28" s="25" t="inlineStr">
        <is>
          <t>Criterios agregados después de la v10</t>
        </is>
      </c>
    </row>
    <row r="29" s="21">
      <c r="B29" s="26" t="inlineStr">
        <is>
          <t>• CA-RF02-5 y CA-RF02-6 (11/10/2026, Registro de cambio N° 20): se prueban en la base de la beta, con "Confirm email" activado y SMTP propio. Usar un correo real.</t>
        </is>
      </c>
    </row>
    <row r="30">
      <c r="B30" s="26" t="inlineStr">
        <is>
          <t>• CA-RNF01-3 (11/10/2026, Registro de cambio N° 19): ticket y fecha de registro asignados por la base. Se prueba en desarrollo después de correr la migración 006.</t>
        </is>
      </c>
    </row>
    <row r="31">
      <c r="B31" s="26" t="inlineStr">
        <is>
          <t>• Para sumar criterios nuevos: agregar la fila al final de "Plan de pruebas" (el Resumen ya cuenta hasta la fila 300) y anotar acá el registro que lo origina.</t>
        </is>
      </c>
    </row>
    <row r="33" s="21">
      <c r="B33" s="25" t="inlineStr">
        <is>
          <t>Pruebas automáticas y reparto (11/10/2026, Registro de cambio N° 34)</t>
        </is>
      </c>
    </row>
    <row r="34" s="21">
      <c r="B34" s="26" t="inlineStr">
        <is>
          <t>• Casos de tipo "Base de datos": pegar ojoalbondi-app/pruebas/pruebas_base_beta.sql en el SQL Editor de la beta → Run. Corre cada caso en nombre de su cuenta y deshace todo; comparar "resultado" con "esperado". Primera corrida: 11/10/2026, 15 Pasa.</t>
        </is>
      </c>
    </row>
    <row r="35" s="21">
      <c r="B35" s="26" t="inlineStr">
        <is>
          <t>• Lo que pasa por la API (alta, Storage, RPC): desde VS Code, en la carpeta ojoalbondi-app, node pruebas/probar-api.mjs. Cubre CA-RF01-6 y CA-RNF01-7 y repite por la API varios de seguridad.</t>
        </is>
      </c>
    </row>
    <row r="36" s="21">
      <c r="B36" s="26" t="inlineStr">
        <is>
          <t>• Casos de App: reparto por integrante en ojoalbondi-app/pruebas/GUIA_PRUEBAS.md.</t>
        </is>
      </c>
    </row>
    <row r="37" s="21">
      <c r="B37" s="26" t="inlineStr">
        <is>
          <t>• Datos de la beta distintos a los de arriba: tratado tiene activas la 501, la 501-503 y la 503; pilarbus la 510; rutabus la 511 pendiente; la 520 no tiene suscripción. Ver las observaciones de CA-RF11-3, CA-RF25-1 y CA-RF25-2.</t>
        </is>
      </c>
    </row>
    <row r="38">
      <c r="B38" s="26" t="inlineStr">
        <is>
          <t>• CA-RF03-9 (12/10/2026): aviso de permiso de ubicación en el buscador del mapa de paradas (cambio de SelectorParada.tsx posterior al N° 40).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N79"/>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5" customWidth="1" style="20" min="1" max="1"/>
    <col width="12" customWidth="1" style="20" min="2" max="2"/>
    <col width="22" customWidth="1" style="20" min="3" max="3"/>
    <col width="24" customWidth="1" style="20" min="4" max="4"/>
    <col width="26" customWidth="1" style="20" min="5" max="5"/>
    <col width="12" customWidth="1" style="20" min="6" max="6"/>
    <col width="30" customWidth="1" style="20" min="7" max="7"/>
    <col width="28" customWidth="1" style="20" min="8" max="8"/>
    <col width="36" customWidth="1" style="20" min="9" max="9"/>
    <col width="40" customWidth="1" style="20" min="10" max="10"/>
    <col width="13" customWidth="1" style="20" min="11" max="11"/>
    <col width="30" customWidth="1" style="20" min="12" max="12"/>
    <col width="14" customWidth="1" style="20" min="13" max="13"/>
    <col width="12" customWidth="1" style="20" min="14" max="14"/>
  </cols>
  <sheetData>
    <row r="1" ht="30" customHeight="1" s="21">
      <c r="A1" s="27" t="inlineStr">
        <is>
          <t>N°</t>
        </is>
      </c>
      <c r="B1" s="27" t="inlineStr">
        <is>
          <t>ID</t>
        </is>
      </c>
      <c r="C1" s="27" t="inlineStr">
        <is>
          <t>Requerimiento</t>
        </is>
      </c>
      <c r="D1" s="27" t="inlineStr">
        <is>
          <t>Bloque</t>
        </is>
      </c>
      <c r="E1" s="27" t="inlineStr">
        <is>
          <t>Cuenta</t>
        </is>
      </c>
      <c r="F1" s="27" t="inlineStr">
        <is>
          <t>Tipo</t>
        </is>
      </c>
      <c r="G1" s="27" t="inlineStr">
        <is>
          <t>Dado</t>
        </is>
      </c>
      <c r="H1" s="27" t="inlineStr">
        <is>
          <t>Cuando</t>
        </is>
      </c>
      <c r="I1" s="27" t="inlineStr">
        <is>
          <t>Entonces (resultado esperado)</t>
        </is>
      </c>
      <c r="J1" s="27" t="inlineStr">
        <is>
          <t>Cómo probarlo</t>
        </is>
      </c>
      <c r="K1" s="27" t="inlineStr">
        <is>
          <t>Resultado</t>
        </is>
      </c>
      <c r="L1" s="27" t="inlineStr">
        <is>
          <t>Observaciones</t>
        </is>
      </c>
      <c r="M1" s="27" t="inlineStr">
        <is>
          <t>Probado por</t>
        </is>
      </c>
      <c r="N1" s="27" t="inlineStr">
        <is>
          <t>Fecha</t>
        </is>
      </c>
    </row>
    <row r="2" ht="23.85" customHeight="1" s="21">
      <c r="A2" s="28" t="n">
        <v>1</v>
      </c>
      <c r="B2" s="29" t="inlineStr">
        <is>
          <t>CA-RF01-1</t>
        </is>
      </c>
      <c r="C2" s="28" t="inlineStr">
        <is>
          <t>RF-01 Registro</t>
        </is>
      </c>
      <c r="D2" s="28" t="inlineStr">
        <is>
          <t>1. Registro e inicio de sesión</t>
        </is>
      </c>
      <c r="E2" s="28" t="inlineStr">
        <is>
          <t>Correo nuevo (sin cuenta)</t>
        </is>
      </c>
      <c r="F2" s="28" t="inlineStr">
        <is>
          <t>App</t>
        </is>
      </c>
      <c r="G2" s="28" t="inlineStr">
        <is>
          <t>Estoy en Registro con todos los campos completos y válidos</t>
        </is>
      </c>
      <c r="H2" s="28" t="inlineStr">
        <is>
          <t>Toco "Registrarme"</t>
        </is>
      </c>
      <c r="I2" s="28" t="inlineStr">
        <is>
          <t>Se crea una cuenta de ciudadano, se muestra "Cuenta creada" y paso a Login</t>
        </is>
      </c>
      <c r="J2" s="28" t="n"/>
      <c r="K2" s="30" t="inlineStr">
        <is>
          <t>Pasa</t>
        </is>
      </c>
      <c r="L2" s="30" t="inlineStr">
        <is>
          <t>Correo usado: realemii72+ojoalbondi1@gmail.com. Se mostró "Cuenta creada" y pasó a Login. Como la beta tiene "Confirm email" activo, la cuenta queda sin confirmar y no puede entrar hasta abrir el mail. Ojo: el SMTP incluido de Supabase permite 2 mails por hora; al pasarse, el alta falla con 429 (over_email_send_rate_limit), la cuenta no se crea y la app muestra solo "Ocurrió un error. Intentá de nuevo." (pasó con ojoalbondi.app@gmail.com).</t>
        </is>
      </c>
      <c r="M2" s="30" t="inlineStr">
        <is>
          <t>Claude en VS Code, emulador</t>
        </is>
      </c>
      <c r="N2" s="31" t="n">
        <v>46306</v>
      </c>
    </row>
    <row r="3" ht="23.85" customHeight="1" s="21">
      <c r="A3" s="32" t="n">
        <v>2</v>
      </c>
      <c r="B3" s="33" t="inlineStr">
        <is>
          <t>CA-RF01-2</t>
        </is>
      </c>
      <c r="C3" s="32" t="inlineStr">
        <is>
          <t>RF-01 Registro</t>
        </is>
      </c>
      <c r="D3" s="32" t="inlineStr">
        <is>
          <t>1. Registro e inicio de sesión</t>
        </is>
      </c>
      <c r="E3" s="32" t="inlineStr">
        <is>
          <t>Correo nuevo (sin cuenta)</t>
        </is>
      </c>
      <c r="F3" s="32" t="inlineStr">
        <is>
          <t>App</t>
        </is>
      </c>
      <c r="G3" s="32" t="inlineStr">
        <is>
          <t>Dejé uno o más campos vacíos</t>
        </is>
      </c>
      <c r="H3" s="32" t="inlineStr">
        <is>
          <t>Toco "Registrarme"</t>
        </is>
      </c>
      <c r="I3" s="32" t="inlineStr">
        <is>
          <t>Se muestra "Completá todos los campos." y no se crea la cuenta</t>
        </is>
      </c>
      <c r="J3" s="32" t="n"/>
      <c r="K3" s="30" t="inlineStr">
        <is>
          <t>Pasa</t>
        </is>
      </c>
      <c r="L3" s="30" t="inlineStr">
        <is>
          <t>Solo con Nombre completo: se mostró "Completá todos los campos." y la app quedó en Registro.</t>
        </is>
      </c>
      <c r="M3" s="30" t="inlineStr">
        <is>
          <t>Claude en VS Code, emulador</t>
        </is>
      </c>
      <c r="N3" s="31" t="n">
        <v>46306</v>
      </c>
    </row>
    <row r="4" ht="35.05" customHeight="1" s="21">
      <c r="A4" s="28" t="n">
        <v>3</v>
      </c>
      <c r="B4" s="29" t="inlineStr">
        <is>
          <t>CA-RF01-3</t>
        </is>
      </c>
      <c r="C4" s="28" t="inlineStr">
        <is>
          <t>RF-01 Registro</t>
        </is>
      </c>
      <c r="D4" s="28" t="inlineStr">
        <is>
          <t>1. Registro e inicio de sesión</t>
        </is>
      </c>
      <c r="E4" s="28" t="inlineStr">
        <is>
          <t>Correo nuevo (sin cuenta)</t>
        </is>
      </c>
      <c r="F4" s="28" t="inlineStr">
        <is>
          <t>App</t>
        </is>
      </c>
      <c r="G4" s="28" t="inlineStr">
        <is>
          <t>La contraseña tiene menos de 6 caracteres, o las dos contraseñas no coinciden</t>
        </is>
      </c>
      <c r="H4" s="28" t="inlineStr">
        <is>
          <t>Toco "Registrarme"</t>
        </is>
      </c>
      <c r="I4" s="28" t="inlineStr">
        <is>
          <t>Se muestra el mensaje correspondiente y no se crea la cuenta</t>
        </is>
      </c>
      <c r="J4" s="28" t="n"/>
      <c r="K4" s="30" t="inlineStr">
        <is>
          <t>Pasa</t>
        </is>
      </c>
      <c r="L4" s="30" t="inlineStr">
        <is>
          <t>Contraseña de 3 caracteres: "La contraseña debe tener al menos 6 caracteres.". Contraseñas distintas: "Las contraseñas no coinciden.". En los dos casos quedó en Registro (captura con las dos pantallas).</t>
        </is>
      </c>
      <c r="M4" s="30" t="inlineStr">
        <is>
          <t>Claude en VS Code, emulador</t>
        </is>
      </c>
      <c r="N4" s="31" t="n">
        <v>46306</v>
      </c>
    </row>
    <row r="5" ht="23.85" customHeight="1" s="21">
      <c r="A5" s="32" t="n">
        <v>4</v>
      </c>
      <c r="B5" s="33" t="inlineStr">
        <is>
          <t>CA-RF01-4</t>
        </is>
      </c>
      <c r="C5" s="32" t="inlineStr">
        <is>
          <t>RF-01 Registro</t>
        </is>
      </c>
      <c r="D5" s="32" t="inlineStr">
        <is>
          <t>1. Registro e inicio de sesión</t>
        </is>
      </c>
      <c r="E5" s="32" t="inlineStr">
        <is>
          <t>Correo nuevo (sin cuenta)</t>
        </is>
      </c>
      <c r="F5" s="32" t="inlineStr">
        <is>
          <t>App</t>
        </is>
      </c>
      <c r="G5" s="32" t="inlineStr">
        <is>
          <t>Ya existe una cuenta con ese correo</t>
        </is>
      </c>
      <c r="H5" s="32" t="inlineStr">
        <is>
          <t>Toco "Registrarme"</t>
        </is>
      </c>
      <c r="I5" s="32" t="inlineStr">
        <is>
          <t>Se muestra "Ya existe una cuenta con ese correo." y no se crea otra</t>
        </is>
      </c>
      <c r="J5" s="32" t="n"/>
      <c r="K5" s="30" t="inlineStr">
        <is>
          <t>Pasa</t>
        </is>
      </c>
      <c r="L5" s="30" t="inlineStr">
        <is>
          <t>Con vecino1@prueba.ojoalbondi (cuenta confirmada): se mostró "Ya existe una cuenta con ese correo." y quedó en Registro. Nota: si la cuenta existente todavía NO confirmó el correo (probado con realemii72+ojoalbondi1@gmail.com), la app muestra "Cuenta creada": Supabase devuelve el mismo usuario (mismo id en los logs de Auth, no crea otro) y reenvía el mail de confirmación.</t>
        </is>
      </c>
      <c r="M5" s="30" t="inlineStr">
        <is>
          <t>Claude en VS Code, emulador</t>
        </is>
      </c>
      <c r="N5" s="31" t="n">
        <v>46306</v>
      </c>
    </row>
    <row r="6" ht="23.85" customHeight="1" s="21">
      <c r="A6" s="28" t="n">
        <v>5</v>
      </c>
      <c r="B6" s="29" t="inlineStr">
        <is>
          <t>CA-RF01-5</t>
        </is>
      </c>
      <c r="C6" s="28" t="inlineStr">
        <is>
          <t>RF-01 Registro</t>
        </is>
      </c>
      <c r="D6" s="28" t="inlineStr">
        <is>
          <t>1. Registro e inicio de sesión</t>
        </is>
      </c>
      <c r="E6" s="28" t="inlineStr">
        <is>
          <t>Correo nuevo (sin cuenta)</t>
        </is>
      </c>
      <c r="F6" s="28" t="inlineStr">
        <is>
          <t>App</t>
        </is>
      </c>
      <c r="G6" s="28" t="inlineStr">
        <is>
          <t>Estoy eligiendo la fecha de nacimiento</t>
        </is>
      </c>
      <c r="H6" s="28" t="inlineStr">
        <is>
          <t>Abro el calendario</t>
        </is>
      </c>
      <c r="I6" s="28" t="inlineStr">
        <is>
          <t>No puedo elegir una fecha posterior a hoy</t>
        </is>
      </c>
      <c r="J6" s="28" t="n"/>
      <c r="K6" s="30" t="inlineStr">
        <is>
          <t>Pasa</t>
        </is>
      </c>
      <c r="L6" s="30" t="inlineStr">
        <is>
          <t>En el calendario de Android los días posteriores a hoy (11/10/2026) aparecen grises y al tocarlos no se seleccionan; no hay flecha al mes siguiente y la lista de años termina en 2026.</t>
        </is>
      </c>
      <c r="M6" s="30" t="inlineStr">
        <is>
          <t>Claude en VS Code, emulador</t>
        </is>
      </c>
      <c r="N6" s="31" t="n">
        <v>46306</v>
      </c>
    </row>
    <row r="7" ht="23.85" customHeight="1" s="21">
      <c r="A7" s="32" t="n">
        <v>6</v>
      </c>
      <c r="B7" s="33" t="inlineStr">
        <is>
          <t>CA-RF02-1</t>
        </is>
      </c>
      <c r="C7" s="32" t="inlineStr">
        <is>
          <t>RF-02 Inicio de sesión</t>
        </is>
      </c>
      <c r="D7" s="32" t="inlineStr">
        <is>
          <t>1. Registro e inicio de sesión</t>
        </is>
      </c>
      <c r="E7" s="32" t="inlineStr">
        <is>
          <t>vecino1@prueba.ojoalbondi</t>
        </is>
      </c>
      <c r="F7" s="32" t="inlineStr">
        <is>
          <t>App</t>
        </is>
      </c>
      <c r="G7" s="32" t="inlineStr">
        <is>
          <t>Tengo una cuenta de ciudadano</t>
        </is>
      </c>
      <c r="H7" s="32" t="inlineStr">
        <is>
          <t>Ingreso correo y contraseña correctos</t>
        </is>
      </c>
      <c r="I7" s="32" t="inlineStr">
        <is>
          <t>Entro a la pantalla Reportar</t>
        </is>
      </c>
      <c r="J7" s="32" t="n"/>
      <c r="K7" s="30" t="inlineStr">
        <is>
          <t>Pasa</t>
        </is>
      </c>
      <c r="L7" s="30" t="inlineStr">
        <is>
          <t>vecino1@prueba.ojoalbondi / Prueba123!: entró a Reportar ("Hola, Lucía" y Últimos reportes). En el emulador la barra inferior salió sin íconos porque Expo Go no pudo bajar la fuente Ionicons del servidor de desarrollo (problema del entorno, no de la app).</t>
        </is>
      </c>
      <c r="M7" s="30" t="inlineStr">
        <is>
          <t>Claude en VS Code, emulador</t>
        </is>
      </c>
      <c r="N7" s="31" t="n">
        <v>46306</v>
      </c>
    </row>
    <row r="8" ht="23.85" customHeight="1" s="21">
      <c r="A8" s="28" t="n">
        <v>7</v>
      </c>
      <c r="B8" s="29" t="inlineStr">
        <is>
          <t>CA-RF02-2</t>
        </is>
      </c>
      <c r="C8" s="28" t="inlineStr">
        <is>
          <t>RF-02 Inicio de sesión</t>
        </is>
      </c>
      <c r="D8" s="28" t="inlineStr">
        <is>
          <t>1. Registro e inicio de sesión</t>
        </is>
      </c>
      <c r="E8" s="28" t="inlineStr">
        <is>
          <t>vecino1@prueba.ojoalbondi</t>
        </is>
      </c>
      <c r="F8" s="28" t="inlineStr">
        <is>
          <t>App</t>
        </is>
      </c>
      <c r="G8" s="28" t="inlineStr">
        <is>
          <t>Ingresé un correo o una contraseña incorrectos</t>
        </is>
      </c>
      <c r="H8" s="28" t="inlineStr">
        <is>
          <t>Toco "Iniciar sesión"</t>
        </is>
      </c>
      <c r="I8" s="28" t="inlineStr">
        <is>
          <t>Se muestra "El correo o la contraseña son incorrectos." y no entro</t>
        </is>
      </c>
      <c r="J8" s="28" t="n"/>
      <c r="K8" s="30" t="inlineStr">
        <is>
          <t>Pasa</t>
        </is>
      </c>
      <c r="L8" s="30" t="inlineStr">
        <is>
          <t>vecino1@prueba.ojoalbondi con contraseña incorrecta: se mostró "El correo o la contraseña son incorrectos." y quedó en Login.</t>
        </is>
      </c>
      <c r="M8" s="30" t="inlineStr">
        <is>
          <t>Claude en VS Code, emulador</t>
        </is>
      </c>
      <c r="N8" s="31" t="n">
        <v>46306</v>
      </c>
    </row>
    <row r="9" ht="35.05" customHeight="1" s="21">
      <c r="A9" s="32" t="n">
        <v>8</v>
      </c>
      <c r="B9" s="33" t="inlineStr">
        <is>
          <t>CA-RF02-3</t>
        </is>
      </c>
      <c r="C9" s="32" t="inlineStr">
        <is>
          <t>RF-02 Inicio de sesión</t>
        </is>
      </c>
      <c r="D9" s="32" t="inlineStr">
        <is>
          <t>1. Registro e inicio de sesión</t>
        </is>
      </c>
      <c r="E9" s="32" t="inlineStr">
        <is>
          <t>vecino1@prueba.ojoalbondi</t>
        </is>
      </c>
      <c r="F9" s="32" t="inlineStr">
        <is>
          <t>App</t>
        </is>
      </c>
      <c r="G9" s="32" t="inlineStr">
        <is>
          <t>Escribí mi correo en Login</t>
        </is>
      </c>
      <c r="H9" s="32" t="inlineStr">
        <is>
          <t>Toco "¿Olvidaste tu contraseña?"</t>
        </is>
      </c>
      <c r="I9" s="32" t="inlineStr">
        <is>
          <t>Recibo un mail para restablecerla y la app me avisa que lo envió. Si el correo está vacío, la app me pide escribirlo</t>
        </is>
      </c>
      <c r="J9" s="32" t="n"/>
      <c r="K9" s="30" t="inlineStr">
        <is>
          <t>Pasa</t>
        </is>
      </c>
      <c r="L9" s="30" t="inlineStr">
        <is>
          <t>Probado 12/10/2026 en la beta con ojoalbondi.app@gmail.com (en lugar de vecino1, para poder ver el mail). Con el correo vacío, la app mostró "Escribí tu correo arriba y tocá de nuevo “¿Olvidaste tu contraseña?”." Con el correo escrito mostró "Revisá tu correo — Te enviamos un mail a ojoalbondi.app@gmail.com para restablecer tu contraseña." y el mail llegó (confirmado por el equipo). No apareció el aviso de demasiados correos. Captura: correo vacío a la izquierda y envío a la derecha. No se abrió el enlace; probablemente redirija a localhost:3000 como el de confirmación (ver CA-RF02-6).</t>
        </is>
      </c>
      <c r="M9" s="30" t="inlineStr">
        <is>
          <t>Claude (automatizado)</t>
        </is>
      </c>
      <c r="N9" s="31" t="n">
        <v>46307</v>
      </c>
    </row>
    <row r="10" ht="23.85" customHeight="1" s="21">
      <c r="A10" s="28" t="n">
        <v>9</v>
      </c>
      <c r="B10" s="29" t="inlineStr">
        <is>
          <t>CA-RF02-4</t>
        </is>
      </c>
      <c r="C10" s="28" t="inlineStr">
        <is>
          <t>RF-02 Inicio de sesión</t>
        </is>
      </c>
      <c r="D10" s="28" t="inlineStr">
        <is>
          <t>1. Registro e inicio de sesión</t>
        </is>
      </c>
      <c r="E10" s="28" t="inlineStr">
        <is>
          <t>vecino1@prueba.ojoalbondi</t>
        </is>
      </c>
      <c r="F10" s="28" t="inlineStr">
        <is>
          <t>App</t>
        </is>
      </c>
      <c r="G10" s="28" t="inlineStr">
        <is>
          <t>Inicié sesión</t>
        </is>
      </c>
      <c r="H10" s="28" t="inlineStr">
        <is>
          <t>Cierro la app y la vuelvo a abrir</t>
        </is>
      </c>
      <c r="I10" s="28" t="inlineStr">
        <is>
          <t>Sigo con la sesión iniciada. Al tocar "Cerrar sesión" vuelvo a Bienvenida</t>
        </is>
      </c>
      <c r="J10" s="28" t="n"/>
      <c r="K10" s="30" t="inlineStr">
        <is>
          <t>Pasa</t>
        </is>
      </c>
      <c r="L10" s="30" t="inlineStr">
        <is>
          <t>Con vecino1: cerré Expo Go del todo (force-stop) y al reabrir el proyecto siguió en Reportar con la sesión iniciada (probado dos veces). "Cerrar sesión" en Ajustes volvió a Bienvenida. Detalle visual: en Ajustes, al desplazar, el título "Ajustes" queda superpuesto con la barra de estado del celular.</t>
        </is>
      </c>
      <c r="M10" s="30" t="inlineStr">
        <is>
          <t>Claude en VS Code, emulador</t>
        </is>
      </c>
      <c r="N10" s="31" t="n">
        <v>46306</v>
      </c>
    </row>
    <row r="11" ht="23.85" customHeight="1" s="21">
      <c r="A11" s="32" t="n">
        <v>10</v>
      </c>
      <c r="B11" s="33" t="inlineStr">
        <is>
          <t>CA-RN02-1</t>
        </is>
      </c>
      <c r="C11" s="32" t="inlineStr">
        <is>
          <t>RN-02 Cuentas institucionales</t>
        </is>
      </c>
      <c r="D11" s="32" t="inlineStr">
        <is>
          <t>1. Registro e inicio de sesión</t>
        </is>
      </c>
      <c r="E11" s="32" t="inlineStr">
        <is>
          <t>La cuenta creada en CA-RF01-1</t>
        </is>
      </c>
      <c r="F11" s="32" t="inlineStr">
        <is>
          <t>Base de datos</t>
        </is>
      </c>
      <c r="G11" s="32" t="inlineStr">
        <is>
          <t>Me registro desde la app</t>
        </is>
      </c>
      <c r="H11" s="32" t="inlineStr">
        <is>
          <t>Se crea mi cuenta</t>
        </is>
      </c>
      <c r="I11" s="32" t="inlineStr">
        <is>
          <t>La cuenta es siempre de ciudadano</t>
        </is>
      </c>
      <c r="J11" s="32" t="inlineStr">
        <is>
          <t>select rol from perfiles where id = '&lt;id de la cuenta nueva&gt;';  → 'ciudadano'</t>
        </is>
      </c>
      <c r="K11" s="30" t="inlineStr">
        <is>
          <t>Pasa</t>
        </is>
      </c>
      <c r="L11" s="30" t="inlineStr">
        <is>
          <t>Verificado en la base simulando el alta (insert en auth.users con metadatos que piden rol admin): el perfil queda "ciudadano". Se deshizo. El alta desde la app se mira en CA-RF01-1.</t>
        </is>
      </c>
      <c r="M11" s="30" t="inlineStr">
        <is>
          <t>Claude (SQL en la beta, en nombre de la cuenta del caso)</t>
        </is>
      </c>
      <c r="N11" s="31" t="n">
        <v>46306</v>
      </c>
    </row>
    <row r="12" ht="35.05" customHeight="1" s="21">
      <c r="A12" s="28" t="n">
        <v>11</v>
      </c>
      <c r="B12" s="29" t="inlineStr">
        <is>
          <t>CA-RF03-1</t>
        </is>
      </c>
      <c r="C12" s="28" t="inlineStr">
        <is>
          <t>RF-03 Crear reclamo</t>
        </is>
      </c>
      <c r="D12" s="28" t="inlineStr">
        <is>
          <t>2. Ciudadano: crear reclamo</t>
        </is>
      </c>
      <c r="E12" s="28" t="inlineStr">
        <is>
          <t>vecino1@prueba.ojoalbondi</t>
        </is>
      </c>
      <c r="F12" s="28" t="inlineStr">
        <is>
          <t>App</t>
        </is>
      </c>
      <c r="G12" s="28" t="inlineStr">
        <is>
          <t>Completé línea, interno o patente, sentido, motivo, fecha, hora y ubicación</t>
        </is>
      </c>
      <c r="H12" s="28" t="inlineStr">
        <is>
          <t>Toco "Enviar reporte"</t>
        </is>
      </c>
      <c r="I12" s="28" t="inlineStr">
        <is>
          <t>El reclamo se registra y paso a Confirmación</t>
        </is>
      </c>
      <c r="J12" s="28" t="n"/>
      <c r="K12" s="30" t="inlineStr">
        <is>
          <t>Pasa</t>
        </is>
      </c>
      <c r="L12" s="30" t="inlineStr">
        <is>
          <t>Probado 12/10/2026 en la beta con vecino1 (letra 1.0, tema Claro): línea 501, hacia Pilar, Demora/poca frecuencia, interno 1245, descripción "PRUEBA EMULADOR CA-RF03-1", fecha de hoy, 10:30 hs, Parada Bolívar e Ituzaingó (elegida en el mapa). Al tocar "Enviar reporte" pasó a Confirmación con OB-2026-0151; en la base quedó con todos esos datos y la parada vinculada. Captura: formulario (2 partes) y Confirmación.</t>
        </is>
      </c>
      <c r="M12" s="30" t="inlineStr">
        <is>
          <t>Claude (automatizado)</t>
        </is>
      </c>
      <c r="N12" s="31" t="n">
        <v>46307</v>
      </c>
    </row>
    <row r="13" ht="23.85" customHeight="1" s="21">
      <c r="A13" s="32" t="n">
        <v>12</v>
      </c>
      <c r="B13" s="33" t="inlineStr">
        <is>
          <t>CA-RF03-2</t>
        </is>
      </c>
      <c r="C13" s="32" t="inlineStr">
        <is>
          <t>RF-03 Crear reclamo</t>
        </is>
      </c>
      <c r="D13" s="32" t="inlineStr">
        <is>
          <t>2. Ciudadano: crear reclamo</t>
        </is>
      </c>
      <c r="E13" s="32" t="inlineStr">
        <is>
          <t>vecino1@prueba.ojoalbondi</t>
        </is>
      </c>
      <c r="F13" s="32" t="inlineStr">
        <is>
          <t>App</t>
        </is>
      </c>
      <c r="G13" s="32" t="inlineStr">
        <is>
          <t>Falta alguno de los campos obligatorios</t>
        </is>
      </c>
      <c r="H13" s="32" t="inlineStr">
        <is>
          <t>Toco "Enviar reporte"</t>
        </is>
      </c>
      <c r="I13" s="32" t="inlineStr">
        <is>
          <t>Se muestra qué falta completar y el reclamo no se envía</t>
        </is>
      </c>
      <c r="J13" s="32" t="n"/>
      <c r="K13" s="30" t="inlineStr">
        <is>
          <t>Pasa</t>
        </is>
      </c>
      <c r="L13" s="30" t="inlineStr">
        <is>
          <t>Probado 12/10/2026: con el formulario vacío, "Enviar reporte" muestra "Completá línea, sentido, motivo, fecha, horario y ubicación." y queda en Crear reporte. Nota: el mensaje es siempre el mismo, lista todos los obligatorios aunque falte uno solo (no marca cuál falta).</t>
        </is>
      </c>
      <c r="M13" s="30" t="inlineStr">
        <is>
          <t>Claude (automatizado)</t>
        </is>
      </c>
      <c r="N13" s="31" t="n">
        <v>46307</v>
      </c>
    </row>
    <row r="14" ht="23.85" customHeight="1" s="21">
      <c r="A14" s="28" t="n">
        <v>13</v>
      </c>
      <c r="B14" s="29" t="inlineStr">
        <is>
          <t>CA-RF03-3</t>
        </is>
      </c>
      <c r="C14" s="28" t="inlineStr">
        <is>
          <t>RF-03 Crear reclamo</t>
        </is>
      </c>
      <c r="D14" s="28" t="inlineStr">
        <is>
          <t>2. Ciudadano: crear reclamo</t>
        </is>
      </c>
      <c r="E14" s="28" t="inlineStr">
        <is>
          <t>vecino1@prueba.ojoalbondi</t>
        </is>
      </c>
      <c r="F14" s="28" t="inlineStr">
        <is>
          <t>App</t>
        </is>
      </c>
      <c r="G14" s="28" t="inlineStr">
        <is>
          <t>Elegí el motivo "Robo, hurto o agresión"</t>
        </is>
      </c>
      <c r="H14" s="28" t="inlineStr">
        <is>
          <t>Miro el formulario</t>
        </is>
      </c>
      <c r="I14" s="28" t="inlineStr">
        <is>
          <t>Veo el aviso del 911, y puedo enviar el reclamo sin completar interno o patente</t>
        </is>
      </c>
      <c r="J14" s="28" t="n"/>
      <c r="K14" s="30" t="inlineStr">
        <is>
          <t>Pasa</t>
        </is>
      </c>
      <c r="L14" s="30" t="inlineStr">
        <is>
          <t>Probado 12/10/2026: con "Robo, hurto o agresión en la parada del colectivo" aparece "🚨 Si estás en peligro o acabás de sufrir un delito, llamá al 911. Este reclamo no reemplaza una denuncia policial." y la etiqueta pasa a "Interno o patente (opcional)". Con el interno vacío se envió (OB-2026-0152, descripción "PRUEBA EMULADOR CA-RF03-3").</t>
        </is>
      </c>
      <c r="M14" s="30" t="inlineStr">
        <is>
          <t>Claude (automatizado)</t>
        </is>
      </c>
      <c r="N14" s="31" t="n">
        <v>46307</v>
      </c>
    </row>
    <row r="15" ht="23.85" customHeight="1" s="21">
      <c r="A15" s="32" t="n">
        <v>14</v>
      </c>
      <c r="B15" s="33" t="inlineStr">
        <is>
          <t>CA-RF03-4</t>
        </is>
      </c>
      <c r="C15" s="32" t="inlineStr">
        <is>
          <t>RF-03 Crear reclamo</t>
        </is>
      </c>
      <c r="D15" s="32" t="inlineStr">
        <is>
          <t>2. Ciudadano: crear reclamo</t>
        </is>
      </c>
      <c r="E15" s="32" t="inlineStr">
        <is>
          <t>vecino1@prueba.ojoalbondi</t>
        </is>
      </c>
      <c r="F15" s="32" t="inlineStr">
        <is>
          <t>App</t>
        </is>
      </c>
      <c r="G15" s="32" t="inlineStr">
        <is>
          <t>Elegí cualquier otro motivo y dejé vacío interno o patente</t>
        </is>
      </c>
      <c r="H15" s="32" t="inlineStr">
        <is>
          <t>Toco "Enviar reporte"</t>
        </is>
      </c>
      <c r="I15" s="32" t="inlineStr">
        <is>
          <t>El reclamo no se envía y se indica que el campo es obligatorio</t>
        </is>
      </c>
      <c r="J15" s="32" t="n"/>
      <c r="K15" s="30" t="inlineStr">
        <is>
          <t>Pasa</t>
        </is>
      </c>
      <c r="L15" s="30" t="inlineStr">
        <is>
          <t>Probado 12/10/2026: con todo completo (501, hacia Pilar, Demora/poca frecuencia, hoy 10:30, "Rivadavia 500, Pilar") y el interno vacío, se muestra "El interno o la patente es obligatorio para este motivo." y no se envía.</t>
        </is>
      </c>
      <c r="M15" s="30" t="inlineStr">
        <is>
          <t>Claude (automatizado)</t>
        </is>
      </c>
      <c r="N15" s="31" t="n">
        <v>46307</v>
      </c>
    </row>
    <row r="16" ht="23.85" customHeight="1" s="21">
      <c r="A16" s="28" t="n">
        <v>15</v>
      </c>
      <c r="B16" s="29" t="inlineStr">
        <is>
          <t>CA-RF03-5</t>
        </is>
      </c>
      <c r="C16" s="28" t="inlineStr">
        <is>
          <t>RF-03 Crear reclamo</t>
        </is>
      </c>
      <c r="D16" s="28" t="inlineStr">
        <is>
          <t>2. Ciudadano: crear reclamo</t>
        </is>
      </c>
      <c r="E16" s="28" t="inlineStr">
        <is>
          <t>vecino1@prueba.ojoalbondi</t>
        </is>
      </c>
      <c r="F16" s="28" t="inlineStr">
        <is>
          <t>App</t>
        </is>
      </c>
      <c r="G16" s="28" t="inlineStr">
        <is>
          <t>Elegí el motivo "Hice señas y el colectivo no frenó"</t>
        </is>
      </c>
      <c r="H16" s="28" t="inlineStr">
        <is>
          <t>Miro el campo interno o patente</t>
        </is>
      </c>
      <c r="I16" s="28" t="inlineStr">
        <is>
          <t>Veo la ayuda general y la ayuda adicional sobre mirar el número en la parte de atrás</t>
        </is>
      </c>
      <c r="J16" s="28" t="n"/>
      <c r="K16" s="30" t="inlineStr">
        <is>
          <t>Pasa</t>
        </is>
      </c>
      <c r="L16" s="30" t="inlineStr">
        <is>
          <t>Probado 12/10/2026: con "Hice señas y el colectivo no frenó" se ven la ayuda general ("El número de interno está pintado en el frente, los costados y la parte de atrás del colectivo.") y la adicional en negrita ("Si no frenó, fijate el número en la parte de atrás cuando se aleja.").</t>
        </is>
      </c>
      <c r="M16" s="30" t="inlineStr">
        <is>
          <t>Claude (automatizado)</t>
        </is>
      </c>
      <c r="N16" s="31" t="n">
        <v>46307</v>
      </c>
    </row>
    <row r="17" ht="15" customHeight="1" s="21">
      <c r="A17" s="32" t="n">
        <v>16</v>
      </c>
      <c r="B17" s="33" t="inlineStr">
        <is>
          <t>CA-RF03-6</t>
        </is>
      </c>
      <c r="C17" s="32" t="inlineStr">
        <is>
          <t>RF-03 Crear reclamo</t>
        </is>
      </c>
      <c r="D17" s="32" t="inlineStr">
        <is>
          <t>2. Ciudadano: crear reclamo</t>
        </is>
      </c>
      <c r="E17" s="32" t="inlineStr">
        <is>
          <t>vecino1@prueba.ojoalbondi</t>
        </is>
      </c>
      <c r="F17" s="32" t="inlineStr">
        <is>
          <t>App</t>
        </is>
      </c>
      <c r="G17" s="32" t="inlineStr">
        <is>
          <t>Elegí una línea</t>
        </is>
      </c>
      <c r="H17" s="32" t="inlineStr">
        <is>
          <t>Abro el campo Sentido</t>
        </is>
      </c>
      <c r="I17" s="32" t="inlineStr">
        <is>
          <t>Solo veo los destinos de esa línea</t>
        </is>
      </c>
      <c r="J17" s="32" t="n"/>
      <c r="K17" s="30" t="inlineStr">
        <is>
          <t>Pasa</t>
        </is>
      </c>
      <c r="L17" s="30" t="inlineStr">
        <is>
          <t>Probado 12/10/2026 con la línea 501: Sentido ofrece solo "hacia Pilar", "hacia San Alejo", "hacia Villa Astolfi" y "hacia Villa Rosa", que son los extremos de sus 3 ramales activos en la base (Pilar–Villa Rosa, Pilar–San Alejo, Villa Rosa–Villa Astolfi).</t>
        </is>
      </c>
      <c r="M17" s="30" t="inlineStr">
        <is>
          <t>Claude (automatizado)</t>
        </is>
      </c>
      <c r="N17" s="31" t="n">
        <v>46307</v>
      </c>
    </row>
    <row r="18" ht="35.05" customHeight="1" s="21">
      <c r="A18" s="28" t="n">
        <v>17</v>
      </c>
      <c r="B18" s="29" t="inlineStr">
        <is>
          <t>CA-RF03-7</t>
        </is>
      </c>
      <c r="C18" s="28" t="inlineStr">
        <is>
          <t>RF-03 Crear reclamo</t>
        </is>
      </c>
      <c r="D18" s="28" t="inlineStr">
        <is>
          <t>2. Ciudadano: crear reclamo</t>
        </is>
      </c>
      <c r="E18" s="28" t="inlineStr">
        <is>
          <t>vecino1@prueba.ojoalbondi</t>
        </is>
      </c>
      <c r="F18" s="28" t="inlineStr">
        <is>
          <t>App</t>
        </is>
      </c>
      <c r="G18" s="28" t="inlineStr">
        <is>
          <t>La fecha del hecho es hoy</t>
        </is>
      </c>
      <c r="H18" s="28" t="inlineStr">
        <is>
          <t>Elijo una hora posterior a la actual y envío</t>
        </is>
      </c>
      <c r="I18" s="28" t="inlineStr">
        <is>
          <t>El reclamo no se envía y se indica que el horario no puede ser posterior a la hora actual</t>
        </is>
      </c>
      <c r="J18" s="28" t="n"/>
      <c r="K18" s="30" t="inlineStr">
        <is>
          <t>Pasa</t>
        </is>
      </c>
      <c r="L18" s="30" t="inlineStr">
        <is>
          <t>Probado 12/10/2026: fecha de hoy y 23:30 hs (el emulador marcaba 15:10) → "El horario del hecho no puede ser posterior a la hora actual." y no se envía. Ojo: el emulador está en zona horaria GMT (3 h adelante de Argentina) y la app compara con la hora del celular.</t>
        </is>
      </c>
      <c r="M18" s="30" t="inlineStr">
        <is>
          <t>Claude (automatizado)</t>
        </is>
      </c>
      <c r="N18" s="31" t="n">
        <v>46307</v>
      </c>
    </row>
    <row r="19" ht="35.05" customHeight="1" s="21">
      <c r="A19" s="32" t="n">
        <v>18</v>
      </c>
      <c r="B19" s="33" t="inlineStr">
        <is>
          <t>CA-RF03-8</t>
        </is>
      </c>
      <c r="C19" s="32" t="inlineStr">
        <is>
          <t>RF-03 Crear reclamo</t>
        </is>
      </c>
      <c r="D19" s="32" t="inlineStr">
        <is>
          <t>2. Ciudadano: crear reclamo</t>
        </is>
      </c>
      <c r="E19" s="32" t="inlineStr">
        <is>
          <t>vecino1@prueba.ojoalbondi</t>
        </is>
      </c>
      <c r="F19" s="32" t="inlineStr">
        <is>
          <t>App</t>
        </is>
      </c>
      <c r="G19" s="32" t="inlineStr">
        <is>
          <t>Abrí el mapa de paradas</t>
        </is>
      </c>
      <c r="H19" s="32" t="inlineStr">
        <is>
          <t>Busco una calle y altura, toco una parada y confirmo</t>
        </is>
      </c>
      <c r="I19" s="32" t="inlineStr">
        <is>
          <t>El mapa se centra en la dirección y el campo Ubicación queda con "Parada &lt;nombre&gt;" y un mapa chico de la parada</t>
        </is>
      </c>
      <c r="J19" s="32" t="n"/>
      <c r="K19" s="30" t="inlineStr">
        <is>
          <t>Pasa</t>
        </is>
      </c>
      <c r="L19" s="30" t="inlineStr">
        <is>
          <t>Revisión del Cambio N° 40 (12/10/2026, vecino1, sin enviar reclamos). 1) Buscador del mapa de paradas: busqué "Lorenzo Lopez 600"; el mapa se centró en Lorenzo López y Rivadavia y el texto siguió diciendo "Lorenzo Lopez 600" (antes lo cambiaba por "Bernardino Rivadavia 702, Pilar"). Captura CA40-1. 2) Parada sin líneas cargadas (Bolívar e Ituzaingó, lineas vacío en la base): la ficha dice "Todavía no sabemos qué líneas paran acá" en el mapa de paradas de Crear reporte y en la pestaña Mapa (antes "Líneas sin informar"). Captura CA40-2 (selector y pestaña Mapa). 3) Foto &gt; Galería en este emulador (sin selector de fotos del sistema): aparece "No se pudo abrir la galería. Probá sacando la foto con la cámara." (antes no pasaba nada). Captura CA40-3. Observación nueva: el buscador usa el geocodificador del celular, que en Android necesita el permiso de ubicación; sin ese permiso responde "No encontramos esa dirección." aunque la dirección exista (pasó al borrar los datos de Expo Go, hasta volver a dar el permiso con "Probar" en Ajustes). Conviene avisar que hace falta la ubicación o usar otro geocodificador. | Probado 12/10/2026: en "Elegir la parada en el mapa" busqué "Lorenzo Lopez 600": el mapa se centró con el pin en Lorenzo López y Rivadavia. Toqué la parada Bolívar e Ituzaingó (visible con "Paradas de la línea 501") y confirmé: Ubicación quedó "Parada Bolívar e Ituzaingó" con el mapa chico de la parada. Detalles: el buscador reemplazó mi texto por "Bernardino Rivadavia 702, Pilar" (la misma esquina, nombrada por la otra calle), y la ficha de esa parada dice "Líneas sin informar" aunque aparece con el filtro de la 501. Captura: búsqueda, parada elegida y formulario.</t>
        </is>
      </c>
      <c r="M19" s="30" t="inlineStr">
        <is>
          <t>Claude (automatizado)</t>
        </is>
      </c>
      <c r="N19" s="31" t="n">
        <v>46307</v>
      </c>
    </row>
    <row r="20" ht="35.05" customHeight="1" s="21">
      <c r="A20" s="28" t="n">
        <v>19</v>
      </c>
      <c r="B20" s="29" t="inlineStr">
        <is>
          <t>CA-RF04-1</t>
        </is>
      </c>
      <c r="C20" s="28" t="inlineStr">
        <is>
          <t>RF-04 Confirmación</t>
        </is>
      </c>
      <c r="D20" s="28" t="inlineStr">
        <is>
          <t>2. Ciudadano: crear reclamo</t>
        </is>
      </c>
      <c r="E20" s="28" t="inlineStr">
        <is>
          <t>vecino1@prueba.ojoalbondi</t>
        </is>
      </c>
      <c r="F20" s="28" t="inlineStr">
        <is>
          <t>App</t>
        </is>
      </c>
      <c r="G20" s="28" t="inlineStr">
        <is>
          <t>Envié un reclamo con conexión</t>
        </is>
      </c>
      <c r="H20" s="28" t="inlineStr">
        <is>
          <t>Llego a Confirmación</t>
        </is>
      </c>
      <c r="I20" s="28" t="inlineStr">
        <is>
          <t>Veo un ticket OB-AAAA-NNNN que no se repite, el resumen del reclamo y el estado Recibido</t>
        </is>
      </c>
      <c r="J20" s="28" t="n"/>
      <c r="K20" s="30" t="inlineStr">
        <is>
          <t>Pasa</t>
        </is>
      </c>
      <c r="L20" s="30" t="inlineStr">
        <is>
          <t>Probado 12/10/2026: Confirmación muestra "Reporte enviado", "Ticket N° OB-2026-0151", Línea 501, Motivo, Horario 10:30 hs, Ubicación y Estado "Recibido". En la base el ticket aparece una sola vez (formato OB-AAAA-NNNN).</t>
        </is>
      </c>
      <c r="M20" s="30" t="inlineStr">
        <is>
          <t>Claude (automatizado)</t>
        </is>
      </c>
      <c r="N20" s="31" t="n">
        <v>46307</v>
      </c>
    </row>
    <row r="21" ht="15" customHeight="1" s="21">
      <c r="A21" s="32" t="n">
        <v>20</v>
      </c>
      <c r="B21" s="33" t="inlineStr">
        <is>
          <t>CA-RF04-2</t>
        </is>
      </c>
      <c r="C21" s="32" t="inlineStr">
        <is>
          <t>RF-04 Confirmación</t>
        </is>
      </c>
      <c r="D21" s="32" t="inlineStr">
        <is>
          <t>2. Ciudadano: crear reclamo</t>
        </is>
      </c>
      <c r="E21" s="32" t="inlineStr">
        <is>
          <t>vecino1@prueba.ojoalbondi</t>
        </is>
      </c>
      <c r="F21" s="32" t="inlineStr">
        <is>
          <t>App</t>
        </is>
      </c>
      <c r="G21" s="32" t="inlineStr">
        <is>
          <t>Estoy en Confirmación</t>
        </is>
      </c>
      <c r="H21" s="32" t="inlineStr">
        <is>
          <t>Toco "Ver mis reportes"</t>
        </is>
      </c>
      <c r="I21" s="32" t="inlineStr">
        <is>
          <t>Veo el reclamo nuevo primero en la lista</t>
        </is>
      </c>
      <c r="J21" s="32" t="n"/>
      <c r="K21" s="30" t="inlineStr">
        <is>
          <t>Pasa</t>
        </is>
      </c>
      <c r="L21" s="30" t="inlineStr">
        <is>
          <t>Probado 12/10/2026: desde Confirmación, "Ver mis reportes" abre Mis reportes con OB-2026-0151 (12/10/2026, Recibido) primero en la lista.</t>
        </is>
      </c>
      <c r="M21" s="30" t="inlineStr">
        <is>
          <t>Claude (automatizado)</t>
        </is>
      </c>
      <c r="N21" s="31" t="n">
        <v>46307</v>
      </c>
    </row>
    <row r="22" ht="23.85" customHeight="1" s="21">
      <c r="A22" s="28" t="n">
        <v>21</v>
      </c>
      <c r="B22" s="29" t="inlineStr">
        <is>
          <t>CA-RF05-1</t>
        </is>
      </c>
      <c r="C22" s="28" t="inlineStr">
        <is>
          <t>RF-05 Inicio y Mis reportes</t>
        </is>
      </c>
      <c r="D22" s="28" t="inlineStr">
        <is>
          <t>3. Ciudadano: inicio, mis reportes y ajustes</t>
        </is>
      </c>
      <c r="E22" s="28" t="inlineStr">
        <is>
          <t>vecino1@prueba.ojoalbondi</t>
        </is>
      </c>
      <c r="F22" s="28" t="inlineStr">
        <is>
          <t>App</t>
        </is>
      </c>
      <c r="G22" s="28" t="inlineStr">
        <is>
          <t>Tengo reclamos registrados</t>
        </is>
      </c>
      <c r="H22" s="28" t="inlineStr">
        <is>
          <t>Entro a Reportar</t>
        </is>
      </c>
      <c r="I22" s="28" t="inlineStr">
        <is>
          <t>Veo el saludo con mi nombre y mis 3 últimos reclamos</t>
        </is>
      </c>
      <c r="J22" s="28" t="n"/>
      <c r="K22" s="30" t="inlineStr">
        <is>
          <t>Pasa</t>
        </is>
      </c>
      <c r="L22" s="30" t="inlineStr">
        <is>
          <t>Probado 12/10/2026 con vecino1: Reportar muestra "Hola, Lucía" y los 3 últimos: OB-2026-0152, OB-2026-0151 y OB-2026-0053.</t>
        </is>
      </c>
      <c r="M22" s="30" t="inlineStr">
        <is>
          <t>Claude (automatizado)</t>
        </is>
      </c>
      <c r="N22" s="31" t="n">
        <v>46307</v>
      </c>
    </row>
    <row r="23" ht="35.05" customHeight="1" s="21">
      <c r="A23" s="32" t="n">
        <v>22</v>
      </c>
      <c r="B23" s="33" t="inlineStr">
        <is>
          <t>CA-RF05-2</t>
        </is>
      </c>
      <c r="C23" s="32" t="inlineStr">
        <is>
          <t>RF-05 Inicio y Mis reportes</t>
        </is>
      </c>
      <c r="D23" s="32" t="inlineStr">
        <is>
          <t>3. Ciudadano: inicio, mis reportes y ajustes</t>
        </is>
      </c>
      <c r="E23" s="32" t="inlineStr">
        <is>
          <t>vecino1@prueba.ojoalbondi</t>
        </is>
      </c>
      <c r="F23" s="32" t="inlineStr">
        <is>
          <t>App</t>
        </is>
      </c>
      <c r="G23" s="32" t="inlineStr">
        <is>
          <t>Tengo reclamos registrados</t>
        </is>
      </c>
      <c r="H23" s="32" t="inlineStr">
        <is>
          <t>Entro a Mis reportes</t>
        </is>
      </c>
      <c r="I23" s="32" t="inlineStr">
        <is>
          <t>Veo todos mis reclamos, los más recientes primero, con su estado, y ninguno de otros usuarios</t>
        </is>
      </c>
      <c r="J23" s="32" t="n"/>
      <c r="K23" s="30" t="inlineStr">
        <is>
          <t>Pasa</t>
        </is>
      </c>
      <c r="L23" s="30" t="inlineStr">
        <is>
          <t>Probado 12/10/2026 con vecino1: Mis reportes lista 23 reclamos, los mismos 23 que tiene en la base (ninguno de otros usuarios), con su estado (Recibido, En revisión, Atendido), ordenados por fecha de registro del más nuevo al más viejo. Captura: comienzo y final de la lista.</t>
        </is>
      </c>
      <c r="M23" s="30" t="inlineStr">
        <is>
          <t>Claude (automatizado)</t>
        </is>
      </c>
      <c r="N23" s="31" t="n">
        <v>46307</v>
      </c>
    </row>
    <row r="24" ht="23.85" customHeight="1" s="21">
      <c r="A24" s="28" t="n">
        <v>23</v>
      </c>
      <c r="B24" s="29" t="inlineStr">
        <is>
          <t>CA-RF05-3</t>
        </is>
      </c>
      <c r="C24" s="28" t="inlineStr">
        <is>
          <t>RF-05 Inicio y Mis reportes</t>
        </is>
      </c>
      <c r="D24" s="28" t="inlineStr">
        <is>
          <t>3. Ciudadano: inicio, mis reportes y ajustes</t>
        </is>
      </c>
      <c r="E24" s="28" t="inlineStr">
        <is>
          <t>La cuenta creada en CA-RF01-1 (sin reclamos)</t>
        </is>
      </c>
      <c r="F24" s="28" t="inlineStr">
        <is>
          <t>App</t>
        </is>
      </c>
      <c r="G24" s="28" t="inlineStr">
        <is>
          <t>No hice ningún reclamo</t>
        </is>
      </c>
      <c r="H24" s="28" t="inlineStr">
        <is>
          <t>Entro a Mis reportes</t>
        </is>
      </c>
      <c r="I24" s="28" t="inlineStr">
        <is>
          <t>Veo el mensaje de que todavía no hice ninguno</t>
        </is>
      </c>
      <c r="J24" s="28" t="n"/>
      <c r="K24" s="30" t="inlineStr">
        <is>
          <t>Pasa</t>
        </is>
      </c>
      <c r="L24" s="30" t="inlineStr">
        <is>
          <t>Probado 12/10/2026 en la beta con ojoalbondi.app@gmail.com, cuenta nueva sin reclamos: Mis reportes muestra "Todavía no hiciste ningún reporte. Tocá "Reportar" abajo para crear el primero." (Reportar también muestra "Todavía no hiciste ningún reporte.").</t>
        </is>
      </c>
      <c r="M24" s="30" t="inlineStr">
        <is>
          <t>Claude (automatizado)</t>
        </is>
      </c>
      <c r="N24" s="31" t="n">
        <v>46307</v>
      </c>
    </row>
    <row r="25" ht="23.85" customHeight="1" s="21">
      <c r="A25" s="32" t="n">
        <v>24</v>
      </c>
      <c r="B25" s="33" t="inlineStr">
        <is>
          <t>CA-RF06-1</t>
        </is>
      </c>
      <c r="C25" s="32" t="inlineStr">
        <is>
          <t>RF-06 Ajustes</t>
        </is>
      </c>
      <c r="D25" s="32" t="inlineStr">
        <is>
          <t>3. Ciudadano: inicio, mis reportes y ajustes</t>
        </is>
      </c>
      <c r="E25" s="32" t="inlineStr">
        <is>
          <t>vecino1@prueba.ojoalbondi</t>
        </is>
      </c>
      <c r="F25" s="32" t="inlineStr">
        <is>
          <t>App</t>
        </is>
      </c>
      <c r="G25" s="32" t="inlineStr">
        <is>
          <t>Estoy en Ajustes</t>
        </is>
      </c>
      <c r="H25" s="32" t="inlineStr">
        <is>
          <t>Elijo el tema Oscuro</t>
        </is>
      </c>
      <c r="I25" s="32" t="inlineStr">
        <is>
          <t>La app cambia a oscuro y lo mantiene al volver a abrirla</t>
        </is>
      </c>
      <c r="J25" s="32" t="n"/>
      <c r="K25" s="30" t="inlineStr">
        <is>
          <t>Pasa</t>
        </is>
      </c>
      <c r="L25" s="30" t="inlineStr">
        <is>
          <t>Elegí Oscuro: toda la app cambió a oscuro. Cerré Expo Go del todo y al reabrir siguió en oscuro. Al final la dejé en Claro.</t>
        </is>
      </c>
      <c r="M25" s="30" t="inlineStr">
        <is>
          <t>Claude en VS Code, emulador</t>
        </is>
      </c>
      <c r="N25" s="31" t="n">
        <v>46306</v>
      </c>
    </row>
    <row r="26" ht="23.85" customHeight="1" s="21">
      <c r="A26" s="28" t="n">
        <v>25</v>
      </c>
      <c r="B26" s="29" t="inlineStr">
        <is>
          <t>CA-RF06-2</t>
        </is>
      </c>
      <c r="C26" s="28" t="inlineStr">
        <is>
          <t>RF-06 Ajustes</t>
        </is>
      </c>
      <c r="D26" s="28" t="inlineStr">
        <is>
          <t>3. Ciudadano: inicio, mis reportes y ajustes</t>
        </is>
      </c>
      <c r="E26" s="28" t="inlineStr">
        <is>
          <t>vecino1@prueba.ojoalbondi</t>
        </is>
      </c>
      <c r="F26" s="28" t="inlineStr">
        <is>
          <t>App</t>
        </is>
      </c>
      <c r="G26" s="28" t="inlineStr">
        <is>
          <t>Estoy en Ajustes</t>
        </is>
      </c>
      <c r="H26" s="28" t="inlineStr">
        <is>
          <t>Toco "Términos y condiciones"</t>
        </is>
      </c>
      <c r="I26" s="28" t="inlineStr">
        <is>
          <t>Se abre el texto de términos y lo puedo cerrar</t>
        </is>
      </c>
      <c r="J26" s="28" t="n"/>
      <c r="K26" s="30" t="inlineStr">
        <is>
          <t>Pasa</t>
        </is>
      </c>
      <c r="L26" s="30" t="inlineStr">
        <is>
          <t>Se abre una hoja con el texto de términos y el botón "Cerrar", que la cierra y vuelve a Ajustes.</t>
        </is>
      </c>
      <c r="M26" s="30" t="inlineStr">
        <is>
          <t>Claude en VS Code, emulador</t>
        </is>
      </c>
      <c r="N26" s="31" t="n">
        <v>46306</v>
      </c>
    </row>
    <row r="27" ht="23.85" customHeight="1" s="21">
      <c r="A27" s="32" t="n">
        <v>26</v>
      </c>
      <c r="B27" s="33" t="inlineStr">
        <is>
          <t>CA-RF06-3</t>
        </is>
      </c>
      <c r="C27" s="32" t="inlineStr">
        <is>
          <t>RF-06 Ajustes</t>
        </is>
      </c>
      <c r="D27" s="32" t="inlineStr">
        <is>
          <t>3. Ciudadano: inicio, mis reportes y ajustes</t>
        </is>
      </c>
      <c r="E27" s="32" t="inlineStr">
        <is>
          <t>vecino1@prueba.ojoalbondi</t>
        </is>
      </c>
      <c r="F27" s="32" t="inlineStr">
        <is>
          <t>App</t>
        </is>
      </c>
      <c r="G27" s="32" t="inlineStr">
        <is>
          <t>Estoy en Ajustes</t>
        </is>
      </c>
      <c r="H27" s="32" t="inlineStr">
        <is>
          <t>Toco "Probar" en Ubicación</t>
        </is>
      </c>
      <c r="I27" s="32" t="inlineStr">
        <is>
          <t>La app pide el permiso de ubicación y muestra si fue otorgado o denegado</t>
        </is>
      </c>
      <c r="J27" s="32" t="n"/>
      <c r="K27" s="30" t="inlineStr">
        <is>
          <t>Pasa</t>
        </is>
      </c>
      <c r="L27" s="30" t="inlineStr">
        <is>
          <t>Probar abrió el diálogo de permiso de Android. Con "Don't allow" mostró "❌ Permiso denegado: revisalo en la configuración del celular."; al tocar Probar de nuevo y elegir "While using the app" mostró "✅ Permiso otorgado." (el permiso de ubicación de Expo Go quedó otorgado).</t>
        </is>
      </c>
      <c r="M27" s="30" t="inlineStr">
        <is>
          <t>Claude en VS Code, emulador</t>
        </is>
      </c>
      <c r="N27" s="31" t="n">
        <v>46306</v>
      </c>
    </row>
    <row r="28" ht="23.85" customHeight="1" s="21">
      <c r="A28" s="28" t="n">
        <v>27</v>
      </c>
      <c r="B28" s="29" t="inlineStr">
        <is>
          <t>CA-RF07-1</t>
        </is>
      </c>
      <c r="C28" s="28" t="inlineStr">
        <is>
          <t>RF-07 Modo sin conexión</t>
        </is>
      </c>
      <c r="D28" s="28" t="inlineStr">
        <is>
          <t>4. Ciudadano: sin conexión</t>
        </is>
      </c>
      <c r="E28" s="28" t="inlineStr">
        <is>
          <t>vecino1@prueba.ojoalbondi</t>
        </is>
      </c>
      <c r="F28" s="28" t="inlineStr">
        <is>
          <t>App</t>
        </is>
      </c>
      <c r="G28" s="28" t="inlineStr">
        <is>
          <t>El celular no tiene conexión</t>
        </is>
      </c>
      <c r="H28" s="28" t="inlineStr">
        <is>
          <t>Envío un reclamo completo</t>
        </is>
      </c>
      <c r="I28" s="28" t="inlineStr">
        <is>
          <t>Se guarda como borrador y veo "Guardado como borrador"</t>
        </is>
      </c>
      <c r="J28" s="28" t="inlineStr">
        <is>
          <t>Activar el modo avión para simular la falta de señal.</t>
        </is>
      </c>
      <c r="K28" s="30" t="inlineStr">
        <is>
          <t>Pasa</t>
        </is>
      </c>
      <c r="L28" s="30" t="inlineStr">
        <is>
          <t>Probado 12/10/2026 con vecino1 y modo avión activado por adb: Crear reporte muestra "📴 Estás sin conexión: el reporte se guarda igual y se envía cuando vuelva la señal.". Con el reclamo completo (501, hacia Villa Rosa, Exceso de pasajeros, interno 2050, "PRUEBA EMULADOR CA-RF07-1") se mostró "Guardado como borrador" — "Sin conexión: se va a enviar solo cuando vuelva la señal.", estado "Borrador local".</t>
        </is>
      </c>
      <c r="M28" s="30" t="inlineStr">
        <is>
          <t>Claude (automatizado)</t>
        </is>
      </c>
      <c r="N28" s="31" t="n">
        <v>46307</v>
      </c>
    </row>
    <row r="29" ht="23.85" customHeight="1" s="21">
      <c r="A29" s="32" t="n">
        <v>28</v>
      </c>
      <c r="B29" s="33" t="inlineStr">
        <is>
          <t>CA-RF07-2</t>
        </is>
      </c>
      <c r="C29" s="32" t="inlineStr">
        <is>
          <t>RF-07 Modo sin conexión</t>
        </is>
      </c>
      <c r="D29" s="32" t="inlineStr">
        <is>
          <t>4. Ciudadano: sin conexión</t>
        </is>
      </c>
      <c r="E29" s="32" t="inlineStr">
        <is>
          <t>vecino1@prueba.ojoalbondi</t>
        </is>
      </c>
      <c r="F29" s="32" t="inlineStr">
        <is>
          <t>App</t>
        </is>
      </c>
      <c r="G29" s="32" t="inlineStr">
        <is>
          <t>Tengo borradores guardados</t>
        </is>
      </c>
      <c r="H29" s="32" t="inlineStr">
        <is>
          <t>Vuelve la conexión</t>
        </is>
      </c>
      <c r="I29" s="32" t="inlineStr">
        <is>
          <t>Los borradores se envían solos, reciben ticket y aparecen en Mis reportes</t>
        </is>
      </c>
      <c r="J29" s="32" t="inlineStr">
        <is>
          <t>Activar el modo avión para simular la falta de señal.</t>
        </is>
      </c>
      <c r="K29" s="30" t="inlineStr">
        <is>
          <t>Pasa</t>
        </is>
      </c>
      <c r="L29" s="30" t="inlineStr">
        <is>
          <t>Probado 12/10/2026: con el borrador de CA-RF07-1, Mis reportes mostraba "1 borrador(es) esperando conexión para enviarse.". Al desactivar el modo avión se envió solo en ~8 s: apareció primero OB-2026-0153 (Recibido), una sola vez en la base. Detalle: sin conexión, Mis reportes no muestra los reclamos ya enviados, solo el aviso del borrador.</t>
        </is>
      </c>
      <c r="M29" s="30" t="inlineStr">
        <is>
          <t>Claude (automatizado)</t>
        </is>
      </c>
      <c r="N29" s="31" t="n">
        <v>46307</v>
      </c>
    </row>
    <row r="30" ht="23.85" customHeight="1" s="21">
      <c r="A30" s="28" t="n">
        <v>29</v>
      </c>
      <c r="B30" s="29" t="inlineStr">
        <is>
          <t>CA-RF10-1</t>
        </is>
      </c>
      <c r="C30" s="28" t="inlineStr">
        <is>
          <t>RF-10 Acceso por rol</t>
        </is>
      </c>
      <c r="D30" s="28" t="inlineStr">
        <is>
          <t>5. Institución: acceso y bandeja</t>
        </is>
      </c>
      <c r="E30" s="28" t="inlineStr">
        <is>
          <t>tratado@prueba.ojoalbondi</t>
        </is>
      </c>
      <c r="F30" s="28" t="inlineStr">
        <is>
          <t>App</t>
        </is>
      </c>
      <c r="G30" s="28" t="inlineStr">
        <is>
          <t>Tengo una cuenta de empresa o municipio</t>
        </is>
      </c>
      <c r="H30" s="28" t="inlineStr">
        <is>
          <t>Inicio sesión</t>
        </is>
      </c>
      <c r="I30" s="28" t="inlineStr">
        <is>
          <t>Entro a la Bandeja de mi organización</t>
        </is>
      </c>
      <c r="J30" s="28" t="n"/>
      <c r="K30" s="30" t="inlineStr">
        <is>
          <t>Pasa</t>
        </is>
      </c>
      <c r="L30" s="30" t="inlineStr">
        <is>
          <t>Probado 12/10/2026: tratado@prueba.ojoalbondi inicia sesión y entra a "BANDEJA DE RECLAMOS — Tratado del Pilar — Líneas habilitadas: 501, 501-503, 503".</t>
        </is>
      </c>
      <c r="M30" s="30" t="inlineStr">
        <is>
          <t>Claude (automatizado)</t>
        </is>
      </c>
      <c r="N30" s="31" t="n">
        <v>46307</v>
      </c>
    </row>
    <row r="31" ht="23.85" customHeight="1" s="21">
      <c r="A31" s="32" t="n">
        <v>30</v>
      </c>
      <c r="B31" s="33" t="inlineStr">
        <is>
          <t>CA-RF10-2</t>
        </is>
      </c>
      <c r="C31" s="32" t="inlineStr">
        <is>
          <t>RF-10 Acceso por rol</t>
        </is>
      </c>
      <c r="D31" s="32" t="inlineStr">
        <is>
          <t>5. Institución: acceso y bandeja</t>
        </is>
      </c>
      <c r="E31" s="32" t="inlineStr">
        <is>
          <t>vecino1@prueba.ojoalbondi</t>
        </is>
      </c>
      <c r="F31" s="32" t="inlineStr">
        <is>
          <t>App</t>
        </is>
      </c>
      <c r="G31" s="32" t="inlineStr">
        <is>
          <t>Tengo una cuenta de ciudadano</t>
        </is>
      </c>
      <c r="H31" s="32" t="inlineStr">
        <is>
          <t>Navego por toda la app</t>
        </is>
      </c>
      <c r="I31" s="32" t="inlineStr">
        <is>
          <t>No veo la Bandeja ni ninguna opción para cambiar estados</t>
        </is>
      </c>
      <c r="J31" s="32" t="n"/>
      <c r="K31" s="30" t="inlineStr">
        <is>
          <t>Pasa</t>
        </is>
      </c>
      <c r="L31" s="30" t="inlineStr">
        <is>
          <t>Probado 12/10/2026 con vecino1: recorrí las 4 pestañas (Reportar, Mapa, Mis reportes, Ajustes) desplazando cada una; en ninguna aparece Bandeja, Cambiar estado, Tomar, Anular, Suscripciones ni Cuentas. Las tarjetas de Mis reportes no abren detalle.</t>
        </is>
      </c>
      <c r="M31" s="30" t="inlineStr">
        <is>
          <t>Claude (automatizado)</t>
        </is>
      </c>
      <c r="N31" s="31" t="n">
        <v>46307</v>
      </c>
    </row>
    <row r="32" ht="35.05" customHeight="1" s="21">
      <c r="A32" s="28" t="n">
        <v>31</v>
      </c>
      <c r="B32" s="29" t="inlineStr">
        <is>
          <t>CA-RF11-1</t>
        </is>
      </c>
      <c r="C32" s="28" t="inlineStr">
        <is>
          <t>RF-11 Bandeja de reclamos</t>
        </is>
      </c>
      <c r="D32" s="28" t="inlineStr">
        <is>
          <t>5. Institución: acceso y bandeja</t>
        </is>
      </c>
      <c r="E32" s="28" t="inlineStr">
        <is>
          <t>tratado@prueba.ojoalbondi</t>
        </is>
      </c>
      <c r="F32" s="28" t="inlineStr">
        <is>
          <t>App</t>
        </is>
      </c>
      <c r="G32" s="28" t="inlineStr">
        <is>
          <t>Soy operador de una empresa</t>
        </is>
      </c>
      <c r="H32" s="28" t="inlineStr">
        <is>
          <t>Abro la Bandeja</t>
        </is>
      </c>
      <c r="I32" s="28" t="inlineStr">
        <is>
          <t>Veo solo los reclamos de mis líneas, los más recientes primero, con ticket, línea, motivo, fecha, estado y antigüedad</t>
        </is>
      </c>
      <c r="J32" s="28" t="n"/>
      <c r="K32" s="30" t="inlineStr">
        <is>
          <t>Pasa</t>
        </is>
      </c>
      <c r="L32" s="30" t="inlineStr">
        <is>
          <t>Probado 12/10/2026 con tratado, filtro Todos: 31 reclamos (los mismos que tiene en la base), solo de las líneas 501, 501-503 y 503, del más reciente al más viejo, cada uno con ticket, línea, antigüedad ("hoy", "hace N días"), motivo, fecha del hecho y estado. Captura: comienzo y final de la lista.</t>
        </is>
      </c>
      <c r="M32" s="30" t="inlineStr">
        <is>
          <t>Claude (automatizado)</t>
        </is>
      </c>
      <c r="N32" s="31" t="n">
        <v>46307</v>
      </c>
    </row>
    <row r="33" ht="35.05" customHeight="1" s="21">
      <c r="A33" s="32" t="n">
        <v>32</v>
      </c>
      <c r="B33" s="33" t="inlineStr">
        <is>
          <t>CA-RF11-2</t>
        </is>
      </c>
      <c r="C33" s="32" t="inlineStr">
        <is>
          <t>RF-11 Bandeja de reclamos</t>
        </is>
      </c>
      <c r="D33" s="32" t="inlineStr">
        <is>
          <t>5. Institución: acceso y bandeja</t>
        </is>
      </c>
      <c r="E33" s="32" t="inlineStr">
        <is>
          <t>tratado@prueba.ojoalbondi</t>
        </is>
      </c>
      <c r="F33" s="32" t="inlineStr">
        <is>
          <t>App</t>
        </is>
      </c>
      <c r="G33" s="32" t="inlineStr">
        <is>
          <t>Hay un reclamo Recibido o En revisión con más de 7 días</t>
        </is>
      </c>
      <c r="H33" s="32" t="inlineStr">
        <is>
          <t>Abro la Bandeja</t>
        </is>
      </c>
      <c r="I33" s="32" t="inlineStr">
        <is>
          <t>Ese reclamo aparece resaltado. Uno Atendido o Anulado con la misma antigüedad no se resalta</t>
        </is>
      </c>
      <c r="J33" s="32" t="inlineStr">
        <is>
          <t>Los datos de prueba incluyen reclamos de hasta 45 días.</t>
        </is>
      </c>
      <c r="K33" s="30" t="inlineStr">
        <is>
          <t>Pasa</t>
        </is>
      </c>
      <c r="L33" s="30" t="inlineStr">
        <is>
          <t>Probado 12/10/2026 con tratado: los Recibido/En revisión de más de 7 días (ej. OB-2026-0010 de 10 días, OB-2026-0081 de 15) tienen borde resaltado y la etiqueta "+7 días"; el Anulado OB-2026-0088 (14 días) y los Atendido OB-2026-0016 y 0117 (15 días) no se resaltan.</t>
        </is>
      </c>
      <c r="M33" s="30" t="inlineStr">
        <is>
          <t>Claude (automatizado)</t>
        </is>
      </c>
      <c r="N33" s="31" t="n">
        <v>46307</v>
      </c>
    </row>
    <row r="34" ht="35.05" customHeight="1" s="21">
      <c r="A34" s="28" t="n">
        <v>33</v>
      </c>
      <c r="B34" s="29" t="inlineStr">
        <is>
          <t>CA-RF11-3</t>
        </is>
      </c>
      <c r="C34" s="28" t="inlineStr">
        <is>
          <t>RF-11 Bandeja de reclamos</t>
        </is>
      </c>
      <c r="D34" s="28" t="inlineStr">
        <is>
          <t>5. Institución: acceso y bandeja</t>
        </is>
      </c>
      <c r="E34" s="28" t="inlineStr">
        <is>
          <t>Empresa sin suscripción activa</t>
        </is>
      </c>
      <c r="F34" s="28" t="inlineStr">
        <is>
          <t>App</t>
        </is>
      </c>
      <c r="G34" s="28" t="inlineStr">
        <is>
          <t>No hay reclamos asignados</t>
        </is>
      </c>
      <c r="H34" s="28" t="inlineStr">
        <is>
          <t>Abro la Bandeja</t>
        </is>
      </c>
      <c r="I34" s="28" t="inlineStr">
        <is>
          <t>Veo un mensaje de que no hay reclamos</t>
        </is>
      </c>
      <c r="J34" s="28" t="inlineStr">
        <is>
          <t>Hacerlo durante CA-RF25-5, con la suscripción de Tratado del Pilar suspendida, o crear una cuenta de empresa sin suscripción.</t>
        </is>
      </c>
      <c r="K34" s="30" t="inlineStr">
        <is>
          <t>Pasa</t>
        </is>
      </c>
      <c r="L34" s="30" t="inlineStr">
        <is>
          <t>Probado 12/10/2026 en la beta con rutabus@prueba.ojoalbondi (511 pendiente), antes de CA-RNF10-2: la Bandeja dice "Sin líneas habilitadas todavía: el administrador tiene que aprobar la suscripción.", contadores en 0 y "No hay reclamos pendientes."; en Todos: "No hay reclamos asignados.". | En la beta: usar rutabus@prueba.ojoalbondi (la 511 está pendiente), antes de CA-RNF10-2.</t>
        </is>
      </c>
      <c r="M34" s="30" t="inlineStr">
        <is>
          <t>Claude (automatizado)</t>
        </is>
      </c>
      <c r="N34" s="31" t="n">
        <v>46307</v>
      </c>
    </row>
    <row r="35" ht="35.05" customHeight="1" s="21">
      <c r="A35" s="32" t="n">
        <v>34</v>
      </c>
      <c r="B35" s="33" t="inlineStr">
        <is>
          <t>CA-RF13-1</t>
        </is>
      </c>
      <c r="C35" s="32" t="inlineStr">
        <is>
          <t>RF-13 Detalle del reclamo</t>
        </is>
      </c>
      <c r="D35" s="32" t="inlineStr">
        <is>
          <t>6. Institución: detalle, estado y seguimiento</t>
        </is>
      </c>
      <c r="E35" s="32" t="inlineStr">
        <is>
          <t>tratado@prueba.ojoalbondi</t>
        </is>
      </c>
      <c r="F35" s="32" t="inlineStr">
        <is>
          <t>App</t>
        </is>
      </c>
      <c r="G35" s="32" t="inlineStr">
        <is>
          <t>Estoy en la Bandeja</t>
        </is>
      </c>
      <c r="H35" s="32" t="inlineStr">
        <is>
          <t>Toco un reclamo</t>
        </is>
      </c>
      <c r="I35" s="32" t="inlineStr">
        <is>
          <t>Veo todos sus datos, la parada en el mapa, la foto si tiene, la descripción y el nombre y apellido del ciudadano</t>
        </is>
      </c>
      <c r="J35" s="32" t="n"/>
      <c r="K35" s="30" t="inlineStr">
        <is>
          <t>Pasa</t>
        </is>
      </c>
      <c r="L35" s="30" t="inlineStr">
        <is>
          <t>Revisión del Cambio N° 43 (12/10/2026). Con tratado, en el detalle de OB-2026-0117 el mapa chico figura en uiautomator como "Mapa con la ubicación del reclamo", clase ImageView, clickable=false y enabled=true: ya no figura como tocable. Con vecino1, en Crear reporte elegí la parada Bolívar e Ituzaingó: el mapa chico sigue siendo un botón ("Cambiar la parada en el mapa", Button, clickable=true) y al tocarlo se abre el mapa de paradas; salí con Cancelar sin enviar. Expo Go se cayó una vez (17:39:13, crash nativo del WebView) al pasar de tratado a vecino1 después de abrir el detalle con el mapa chico, igual que a las 17:10. Captura CA43 (detalle de tratado, formulario con la parada y mapa abierto). | Revisión del Cambio N° 42 (12/10/2026, tratado, OB-2026-0117). Fechas: el detalle y el seguimiento salen con dos dígitos: "Fecha y hora del hecho: 26/09/2026 17:25 hs"; seguimiento "26/09/2026 20:31 hs", "29/09/2026 02:47 hs", "01/10/2026 12:06 hs" (captura CA42-2). Mapa chico: uiautomator lo muestra como "Mapa con la ubicación del reclamo", clase ImageView (rol imagen) y enabled=false; tocarlo no hace nada. Detalle: el nodo sigue con clickable=true (lo pone el Pressable aunque esté deshabilitado); si se quiere que no figure como tocable, usar un View cuando no hay onPress (captura CA42-3). WebView del mapa: con vecino1 usé la pestaña Mapa y el selector de paradas de Crear reporte 15 minutos (17:12 a 17:28, 12 ciclos: mover, acercar con doble toque, tocar paradas, buscar direcciones; sin enviar reclamos, la base no tiene reclamos nuevos). Expo Go se cayó 1 vez, a las 17:23:22, en la pestaña Mapa; y otra a las 17:10:53 al cambiar de tratado (detalle con mapa chico) a vecino1, antes de empezar los 15 minutos. Las dos son el mismo crash nativo: SIGTRAP en el hilo MemoryInfra del proceso principal de Expo Go, dentro de libwebviewchromium. No se vio ningún cierre del proceso del renderer del WebView (no hubo mapa en blanco que volviera solo), así que onRenderProcessGone no llegó a actuar: este crash tira toda la app y el arreglo no lo cubre. Captura CA42-4 (pestaña Mapa al terminar). | Probado 12/10/2026 con tratado en OB-2026-0117: muestra línea, interno, sentido, motivo, fecha y hora, ubicación, descripción, "Ciudadano: Pablo Ruiz" y el mapa chico con la parada (todo igual a la base). Ningún reclamo de prueba tiene a la vez parada y foto: la foto se vio en OB-2026-0154 (captura de CA-RF07-3, a la derecha). Detalles: las fechas del detalle no llevan cero ("26/9/2026", "1/10/2026") a diferencia del resto de la app ("26/09/2026"), y el mapa chico tiene la etiqueta de accesibilidad "Cambiar la parada en el mapa" aunque la empresa no puede cambiarla.</t>
        </is>
      </c>
      <c r="M35" s="30" t="inlineStr">
        <is>
          <t>Claude (automatizado)</t>
        </is>
      </c>
      <c r="N35" s="31" t="n">
        <v>46307</v>
      </c>
    </row>
    <row r="36" ht="23.85" customHeight="1" s="21">
      <c r="A36" s="28" t="n">
        <v>35</v>
      </c>
      <c r="B36" s="29" t="inlineStr">
        <is>
          <t>CA-RF13-2</t>
        </is>
      </c>
      <c r="C36" s="28" t="inlineStr">
        <is>
          <t>RF-13 Detalle del reclamo</t>
        </is>
      </c>
      <c r="D36" s="28" t="inlineStr">
        <is>
          <t>6. Institución: detalle, estado y seguimiento</t>
        </is>
      </c>
      <c r="E36" s="28" t="inlineStr">
        <is>
          <t>tratado@prueba.ojoalbondi</t>
        </is>
      </c>
      <c r="F36" s="28" t="inlineStr">
        <is>
          <t>App</t>
        </is>
      </c>
      <c r="G36" s="28" t="inlineStr">
        <is>
          <t>Estoy en el detalle de un reclamo</t>
        </is>
      </c>
      <c r="H36" s="28" t="inlineStr">
        <is>
          <t>Reviso los datos del ciudadano</t>
        </is>
      </c>
      <c r="I36" s="28" t="inlineStr">
        <is>
          <t>No veo su correo ni su fecha de nacimiento</t>
        </is>
      </c>
      <c r="J36" s="28" t="n"/>
      <c r="K36" s="30" t="inlineStr">
        <is>
          <t>Pasa</t>
        </is>
      </c>
      <c r="L36" s="30" t="inlineStr">
        <is>
          <t>Probado 12/10/2026 con tratado en OB-2026-0117 (y 0151, 0154): del ciudadano solo se ve "Ciudadano: Nombre Apellido"; no aparecen correo ni fecha de nacimiento.</t>
        </is>
      </c>
      <c r="M36" s="30" t="inlineStr">
        <is>
          <t>Claude (automatizado)</t>
        </is>
      </c>
      <c r="N36" s="31" t="n">
        <v>46307</v>
      </c>
    </row>
    <row r="37" ht="23.85" customHeight="1" s="21">
      <c r="A37" s="32" t="n">
        <v>36</v>
      </c>
      <c r="B37" s="33" t="inlineStr">
        <is>
          <t>CA-RF14-1</t>
        </is>
      </c>
      <c r="C37" s="32" t="inlineStr">
        <is>
          <t>RF-14 Cambio de estado</t>
        </is>
      </c>
      <c r="D37" s="32" t="inlineStr">
        <is>
          <t>6. Institución: detalle, estado y seguimiento</t>
        </is>
      </c>
      <c r="E37" s="32" t="inlineStr">
        <is>
          <t>tratado@prueba.ojoalbondi</t>
        </is>
      </c>
      <c r="F37" s="32" t="inlineStr">
        <is>
          <t>App</t>
        </is>
      </c>
      <c r="G37" s="32" t="inlineStr">
        <is>
          <t>El reclamo está Recibido</t>
        </is>
      </c>
      <c r="H37" s="32" t="inlineStr">
        <is>
          <t>Abro el detalle</t>
        </is>
      </c>
      <c r="I37" s="32" t="inlineStr">
        <is>
          <t>Solo puedo pasarlo a En revisión o anularlo</t>
        </is>
      </c>
      <c r="J37" s="32" t="n"/>
      <c r="K37" s="30" t="inlineStr">
        <is>
          <t>Pasa</t>
        </is>
      </c>
      <c r="L37" s="30" t="inlineStr">
        <is>
          <t>Probado 12/10/2026 con tratado en OB-2026-0151 (Recibido, reclamo de prueba): bajo "Cambiar estado" solo hay "Tomar (En revisión)" y "Anular". | Apoyo en la base (11/10/2026): cambiar_estado acepta Recibido → En revisión. Falta mirar la pantalla.</t>
        </is>
      </c>
      <c r="M37" s="30" t="inlineStr">
        <is>
          <t>Claude (automatizado)</t>
        </is>
      </c>
      <c r="N37" s="31" t="n">
        <v>46307</v>
      </c>
    </row>
    <row r="38" ht="23.85" customHeight="1" s="21">
      <c r="A38" s="28" t="n">
        <v>37</v>
      </c>
      <c r="B38" s="29" t="inlineStr">
        <is>
          <t>CA-RF14-2</t>
        </is>
      </c>
      <c r="C38" s="28" t="inlineStr">
        <is>
          <t>RF-14 Cambio de estado</t>
        </is>
      </c>
      <c r="D38" s="28" t="inlineStr">
        <is>
          <t>6. Institución: detalle, estado y seguimiento</t>
        </is>
      </c>
      <c r="E38" s="28" t="inlineStr">
        <is>
          <t>tratado@prueba.ojoalbondi</t>
        </is>
      </c>
      <c r="F38" s="28" t="inlineStr">
        <is>
          <t>App</t>
        </is>
      </c>
      <c r="G38" s="28" t="inlineStr">
        <is>
          <t>El reclamo está En revisión</t>
        </is>
      </c>
      <c r="H38" s="28" t="inlineStr">
        <is>
          <t>Abro el detalle</t>
        </is>
      </c>
      <c r="I38" s="28" t="inlineStr">
        <is>
          <t>Solo puedo marcarlo como Atendido o anularlo</t>
        </is>
      </c>
      <c r="J38" s="28" t="n"/>
      <c r="K38" s="30" t="inlineStr">
        <is>
          <t>Pasa</t>
        </is>
      </c>
      <c r="L38" s="30" t="inlineStr">
        <is>
          <t>Probado 12/10/2026 con tratado: pasé OB-2026-0151 a En revisión (comentario "PRUEBA EMULADOR CA-RF14-2"); ahora solo ofrece "Marcar como Atendido" y "Anular". En la base: Recibido &gt; En revisión. | Apoyo en la base (11/10/2026): rechaza En revisión → Recibido y acepta En revisión → Atendido. Falta mirar la pantalla.</t>
        </is>
      </c>
      <c r="M38" s="30" t="inlineStr">
        <is>
          <t>Claude (automatizado)</t>
        </is>
      </c>
      <c r="N38" s="31" t="n">
        <v>46307</v>
      </c>
    </row>
    <row r="39" ht="23.85" customHeight="1" s="21">
      <c r="A39" s="32" t="n">
        <v>38</v>
      </c>
      <c r="B39" s="33" t="inlineStr">
        <is>
          <t>CA-RF14-3</t>
        </is>
      </c>
      <c r="C39" s="32" t="inlineStr">
        <is>
          <t>RF-14 Cambio de estado</t>
        </is>
      </c>
      <c r="D39" s="32" t="inlineStr">
        <is>
          <t>6. Institución: detalle, estado y seguimiento</t>
        </is>
      </c>
      <c r="E39" s="32" t="inlineStr">
        <is>
          <t>tratado@prueba.ojoalbondi</t>
        </is>
      </c>
      <c r="F39" s="32" t="inlineStr">
        <is>
          <t>App</t>
        </is>
      </c>
      <c r="G39" s="32" t="inlineStr">
        <is>
          <t>El reclamo está Atendido o Anulado</t>
        </is>
      </c>
      <c r="H39" s="32" t="inlineStr">
        <is>
          <t>Abro el detalle</t>
        </is>
      </c>
      <c r="I39" s="32" t="inlineStr">
        <is>
          <t>No hay opciones para cambiar el estado</t>
        </is>
      </c>
      <c r="J39" s="32" t="n"/>
      <c r="K39" s="30" t="inlineStr">
        <is>
          <t>Pasa</t>
        </is>
      </c>
      <c r="L39" s="30" t="inlineStr">
        <is>
          <t>Probado 12/10/2026 con tratado: OB-2026-0151 marcado Atendido ("PRUEBA EMULADOR CA-RF14-3") y OB-2026-0152 Anulado (motivo "PRUEBA EMULADOR CA-RF14-3"): en los dos, "Cambiar estado" muestra "Estado final: no admite más cambios." sin botones. Solo se cambiaron 0151 y 0152; 0153 y 0154 siguen Recibido. | Apoyo en la base (11/10/2026): rechaza Atendido → Anulado. Falta mirar la pantalla.</t>
        </is>
      </c>
      <c r="M39" s="30" t="inlineStr">
        <is>
          <t>Claude (automatizado)</t>
        </is>
      </c>
      <c r="N39" s="31" t="n">
        <v>46307</v>
      </c>
    </row>
    <row r="40" ht="23.85" customHeight="1" s="21">
      <c r="A40" s="28" t="n">
        <v>39</v>
      </c>
      <c r="B40" s="29" t="inlineStr">
        <is>
          <t>CA-RF14-4</t>
        </is>
      </c>
      <c r="C40" s="28" t="inlineStr">
        <is>
          <t>RF-14 Cambio de estado</t>
        </is>
      </c>
      <c r="D40" s="28" t="inlineStr">
        <is>
          <t>6. Institución: detalle, estado y seguimiento</t>
        </is>
      </c>
      <c r="E40" s="28" t="inlineStr">
        <is>
          <t>tratado@prueba.ojoalbondi</t>
        </is>
      </c>
      <c r="F40" s="28" t="inlineStr">
        <is>
          <t>App</t>
        </is>
      </c>
      <c r="G40" s="28" t="inlineStr">
        <is>
          <t>Elegí Anular</t>
        </is>
      </c>
      <c r="H40" s="28" t="inlineStr">
        <is>
          <t>Confirmo sin escribir un motivo</t>
        </is>
      </c>
      <c r="I40" s="28" t="inlineStr">
        <is>
          <t>Se muestra "El motivo de anulación es obligatorio." y el estado no cambia</t>
        </is>
      </c>
      <c r="J40" s="28" t="n"/>
      <c r="K40" s="30" t="inlineStr">
        <is>
          <t>Pasa</t>
        </is>
      </c>
      <c r="L40" s="30" t="inlineStr">
        <is>
          <t>Probado 12/10/2026 con tratado en OB-2026-0152: "Anular" abre "Anular reclamo" (motivos rápidos, campo "Motivo de anulación", Confirmar/Cancelar); al confirmar sin motivo se muestra "El motivo de anulación es obligatorio." y en la base siguió Recibido con una sola entrada. | Apoyo en la base (11/10/2026): anular sin motivo da "El motivo de anulación es obligatorio.". Falta mirar la pantalla.</t>
        </is>
      </c>
      <c r="M40" s="30" t="inlineStr">
        <is>
          <t>Claude (automatizado)</t>
        </is>
      </c>
      <c r="N40" s="31" t="n">
        <v>46307</v>
      </c>
    </row>
    <row r="41" ht="46.25" customHeight="1" s="21">
      <c r="A41" s="32" t="n">
        <v>40</v>
      </c>
      <c r="B41" s="33" t="inlineStr">
        <is>
          <t>CA-RF14-5</t>
        </is>
      </c>
      <c r="C41" s="32" t="inlineStr">
        <is>
          <t>RF-14 Cambio de estado</t>
        </is>
      </c>
      <c r="D41" s="32" t="inlineStr">
        <is>
          <t>6. Institución: detalle, estado y seguimiento</t>
        </is>
      </c>
      <c r="E41" s="32" t="inlineStr">
        <is>
          <t>tratado@prueba.ojoalbondi</t>
        </is>
      </c>
      <c r="F41" s="32" t="inlineStr">
        <is>
          <t>Base de datos</t>
        </is>
      </c>
      <c r="G41" s="32" t="inlineStr">
        <is>
          <t>Un reclamo está Recibido</t>
        </is>
      </c>
      <c r="H41" s="32" t="inlineStr">
        <is>
          <t>Se intenta pasarlo directo a Atendido, incluso desde fuera de la app</t>
        </is>
      </c>
      <c r="I41" s="32" t="inlineStr">
        <is>
          <t>La base de datos rechaza el cambio</t>
        </is>
      </c>
      <c r="J41" s="32" t="inlineStr">
        <is>
          <t>Como tratado@prueba.ojoalbondi: select cambiar_estado('&lt;id de un reclamo Recibido de la 501&gt;', 'Atendido', 'x');  → error 'Cambio de estado no permitido'</t>
        </is>
      </c>
      <c r="K41" s="30" t="inlineStr">
        <is>
          <t>Pasa</t>
        </is>
      </c>
      <c r="L41" s="30" t="inlineStr">
        <is>
          <t>Como tratado: "Cambio de estado no permitido: Recibido → Atendido". Como vecino1: "No tenés permiso para gestionar este reclamo".</t>
        </is>
      </c>
      <c r="M41" s="30" t="inlineStr">
        <is>
          <t>Claude (SQL en la beta, en nombre de la cuenta del caso)</t>
        </is>
      </c>
      <c r="N41" s="31" t="n">
        <v>46306</v>
      </c>
    </row>
    <row r="42" ht="23.85" customHeight="1" s="21">
      <c r="A42" s="28" t="n">
        <v>41</v>
      </c>
      <c r="B42" s="29" t="inlineStr">
        <is>
          <t>CA-RF15-1</t>
        </is>
      </c>
      <c r="C42" s="28" t="inlineStr">
        <is>
          <t>RF-15 Seguimiento</t>
        </is>
      </c>
      <c r="D42" s="28" t="inlineStr">
        <is>
          <t>6. Institución: detalle, estado y seguimiento</t>
        </is>
      </c>
      <c r="E42" s="28" t="inlineStr">
        <is>
          <t>tratado@prueba.ojoalbondi</t>
        </is>
      </c>
      <c r="F42" s="28" t="inlineStr">
        <is>
          <t>App</t>
        </is>
      </c>
      <c r="G42" s="28" t="inlineStr">
        <is>
          <t>Un reclamo tuvo cambios de estado</t>
        </is>
      </c>
      <c r="H42" s="28" t="inlineStr">
        <is>
          <t>Abro su detalle</t>
        </is>
      </c>
      <c r="I42" s="28" t="inlineStr">
        <is>
          <t>Veo cada cambio en orden, con estado, fecha y hora, organización y comentario</t>
        </is>
      </c>
      <c r="J42" s="28" t="n"/>
      <c r="K42" s="30" t="inlineStr">
        <is>
          <t>Pasa</t>
        </is>
      </c>
      <c r="L42" s="30" t="inlineStr">
        <is>
          <t>Probado 12/10/2026 con tratado en OB-2026-0117: Seguimiento muestra en orden Recibido (26/9/2026 20:31, Sistema: reclamo recibido.), En revisión (29/9/2026 02:47, Tratado del Pilar: Estamos revisando...) y Atendido (1/10/2026 12:06, Tratado del Pilar: Se reforzó la frecuencia...), igual que historial_estados.</t>
        </is>
      </c>
      <c r="M42" s="30" t="inlineStr">
        <is>
          <t>Claude (automatizado)</t>
        </is>
      </c>
      <c r="N42" s="31" t="n">
        <v>46307</v>
      </c>
    </row>
    <row r="43" ht="23.85" customHeight="1" s="21">
      <c r="A43" s="32" t="n">
        <v>42</v>
      </c>
      <c r="B43" s="33" t="inlineStr">
        <is>
          <t>CA-RF15-2</t>
        </is>
      </c>
      <c r="C43" s="32" t="inlineStr">
        <is>
          <t>RF-15 Seguimiento</t>
        </is>
      </c>
      <c r="D43" s="32" t="inlineStr">
        <is>
          <t>6. Institución: detalle, estado y seguimiento</t>
        </is>
      </c>
      <c r="E43" s="32" t="inlineStr">
        <is>
          <t>tratado@prueba.ojoalbondi</t>
        </is>
      </c>
      <c r="F43" s="32" t="inlineStr">
        <is>
          <t>App</t>
        </is>
      </c>
      <c r="G43" s="32" t="inlineStr">
        <is>
          <t>Un reclamo recién se creó</t>
        </is>
      </c>
      <c r="H43" s="32" t="inlineStr">
        <is>
          <t>Abro su detalle</t>
        </is>
      </c>
      <c r="I43" s="32" t="inlineStr">
        <is>
          <t>Veo una sola entrada: Recibido, registrada por el Sistema</t>
        </is>
      </c>
      <c r="J43" s="32" t="n"/>
      <c r="K43" s="30" t="inlineStr">
        <is>
          <t>Pasa</t>
        </is>
      </c>
      <c r="L43" s="30" t="inlineStr">
        <is>
          <t>Probado 12/10/2026 con tratado en OB-2026-0151 recién creado (antes de CA-RF14): una sola entrada, Recibido, 12/10/2026 12:19, "Sistema: reclamo recibido.". | Apoyo en la base (11/10/2026): un reclamo nuevo tiene una sola entrada, Recibido, registrada por Sistema. Falta mirar la pantalla.</t>
        </is>
      </c>
      <c r="M43" s="30" t="inlineStr">
        <is>
          <t>Claude (automatizado)</t>
        </is>
      </c>
      <c r="N43" s="31" t="n">
        <v>46307</v>
      </c>
    </row>
    <row r="44" ht="46.25" customHeight="1" s="21">
      <c r="A44" s="28" t="n">
        <v>43</v>
      </c>
      <c r="B44" s="29" t="inlineStr">
        <is>
          <t>CA-RF18-1</t>
        </is>
      </c>
      <c r="C44" s="28" t="inlineStr">
        <is>
          <t>RF-18 Asignación automática</t>
        </is>
      </c>
      <c r="D44" s="28" t="inlineStr">
        <is>
          <t>7. Asignación y suscripciones</t>
        </is>
      </c>
      <c r="E44" s="28" t="inlineStr">
        <is>
          <t>vecino1@prueba.ojoalbondi, luego tratado@prueba.ojoalbondi y pilarbus@prueba.ojoalbondi</t>
        </is>
      </c>
      <c r="F44" s="28" t="inlineStr">
        <is>
          <t>App</t>
        </is>
      </c>
      <c r="G44" s="28" t="inlineStr">
        <is>
          <t>Un ciudadano registra un reclamo de la línea 501 (suscripción activa de Tratado del Pilar)</t>
        </is>
      </c>
      <c r="H44" s="28" t="inlineStr">
        <is>
          <t>Tratado del Pilar y Pilar Bus abren su Bandeja</t>
        </is>
      </c>
      <c r="I44" s="28" t="inlineStr">
        <is>
          <t>El reclamo aparece en la Bandeja de Tratado del Pilar y no en la de Pilar Bus</t>
        </is>
      </c>
      <c r="J44" s="28" t="n"/>
      <c r="K44" s="30" t="inlineStr">
        <is>
          <t>Pasa</t>
        </is>
      </c>
      <c r="L44" s="30" t="inlineStr">
        <is>
          <t>Probado 12/10/2026: los reclamos de la 501 creados por vecino1 (OB-2026-0151 a 0154) aparecen en la Bandeja de Tratado del Pilar; en la de pilarbus (32 reclamos, todos de la 510) no aparece ninguno.</t>
        </is>
      </c>
      <c r="M44" s="30" t="inlineStr">
        <is>
          <t>Claude (automatizado)</t>
        </is>
      </c>
      <c r="N44" s="31" t="n">
        <v>46307</v>
      </c>
    </row>
    <row r="45" ht="23.85" customHeight="1" s="21">
      <c r="A45" s="32" t="n">
        <v>44</v>
      </c>
      <c r="B45" s="33" t="inlineStr">
        <is>
          <t>CA-RF18-2</t>
        </is>
      </c>
      <c r="C45" s="32" t="inlineStr">
        <is>
          <t>RF-18 Asignación automática</t>
        </is>
      </c>
      <c r="D45" s="32" t="inlineStr">
        <is>
          <t>7. Asignación y suscripciones</t>
        </is>
      </c>
      <c r="E45" s="32" t="inlineStr">
        <is>
          <t>municipio@prueba.ojoalbondi</t>
        </is>
      </c>
      <c r="F45" s="32" t="inlineStr">
        <is>
          <t>App</t>
        </is>
      </c>
      <c r="G45" s="32" t="inlineStr">
        <is>
          <t>Hay reclamos de líneas de distintas empresas</t>
        </is>
      </c>
      <c r="H45" s="32" t="inlineStr">
        <is>
          <t>El municipio abre su Bandeja</t>
        </is>
      </c>
      <c r="I45" s="32" t="inlineStr">
        <is>
          <t>Ve los reclamos de todas las líneas</t>
        </is>
      </c>
      <c r="J45" s="32" t="n"/>
      <c r="K45" s="30" t="inlineStr">
        <is>
          <t>Pasa</t>
        </is>
      </c>
      <c r="L45" s="30" t="inlineStr">
        <is>
          <t>Probado 12/10/2026 con municipio ("Todas las líneas"): en Todos ve 154 reclamos de las 6 líneas (501: 18, 501-503: 8, 503: 5, 510: 32, 511: 10, 520: 81), igual que la base.</t>
        </is>
      </c>
      <c r="M45" s="30" t="inlineStr">
        <is>
          <t>Claude (automatizado)</t>
        </is>
      </c>
      <c r="N45" s="31" t="n">
        <v>46307</v>
      </c>
    </row>
    <row r="46" ht="35.05" customHeight="1" s="21">
      <c r="A46" s="28" t="n">
        <v>45</v>
      </c>
      <c r="B46" s="29" t="inlineStr">
        <is>
          <t>CA-RF25-1</t>
        </is>
      </c>
      <c r="C46" s="28" t="inlineStr">
        <is>
          <t>RF-25 Suscripción por línea</t>
        </is>
      </c>
      <c r="D46" s="28" t="inlineStr">
        <is>
          <t>7. Asignación y suscripciones</t>
        </is>
      </c>
      <c r="E46" s="28" t="inlineStr">
        <is>
          <t>tratado@prueba.ojoalbondi</t>
        </is>
      </c>
      <c r="F46" s="28" t="inlineStr">
        <is>
          <t>App</t>
        </is>
      </c>
      <c r="G46" s="28" t="inlineStr">
        <is>
          <t>Tratado del Pilar opera las líneas 501 y 503, pero solo tiene suscripción activa para la 501</t>
        </is>
      </c>
      <c r="H46" s="28" t="inlineStr">
        <is>
          <t>Abre su Bandeja</t>
        </is>
      </c>
      <c r="I46" s="28" t="inlineStr">
        <is>
          <t>Ve los reclamos de la 501 y ninguno de la 503</t>
        </is>
      </c>
      <c r="J46" s="28" t="n"/>
      <c r="K46" s="30" t="inlineStr">
        <is>
          <t>Pasa</t>
        </is>
      </c>
      <c r="L46" s="30" t="inlineStr">
        <is>
          <t>Probado 12/10/2026 con el equivalente de la beta: rutabus opera la 511 con suscripción pendiente y no ve ninguno de sus 10 reclamos (Pendientes y Todos vacíos). Hecho antes de activar la 511. | En la beta la 503 tiene suscripción activa de Tratado, así que el caso no se da como está escrito. Equivalente en la beta: rutabus opera la 511 con suscripción pendiente y no ve ningún reclamo de la 511.</t>
        </is>
      </c>
      <c r="M46" s="30" t="inlineStr">
        <is>
          <t>Claude (automatizado)</t>
        </is>
      </c>
      <c r="N46" s="31" t="n">
        <v>46307</v>
      </c>
    </row>
    <row r="47" ht="23.85" customHeight="1" s="21">
      <c r="A47" s="32" t="n">
        <v>46</v>
      </c>
      <c r="B47" s="33" t="inlineStr">
        <is>
          <t>CA-RF25-2</t>
        </is>
      </c>
      <c r="C47" s="32" t="inlineStr">
        <is>
          <t>RF-25 Suscripción por línea</t>
        </is>
      </c>
      <c r="D47" s="32" t="inlineStr">
        <is>
          <t>7. Asignación y suscripciones</t>
        </is>
      </c>
      <c r="E47" s="32" t="inlineStr">
        <is>
          <t>municipio@prueba.ojoalbondi</t>
        </is>
      </c>
      <c r="F47" s="32" t="inlineStr">
        <is>
          <t>App</t>
        </is>
      </c>
      <c r="G47" s="32" t="inlineStr">
        <is>
          <t>La línea 503 no tiene ninguna suscripción activa</t>
        </is>
      </c>
      <c r="H47" s="32" t="inlineStr">
        <is>
          <t>El municipio abre su Bandeja</t>
        </is>
      </c>
      <c r="I47" s="32" t="inlineStr">
        <is>
          <t>Ve los reclamos de la 503 y los puede gestionar</t>
        </is>
      </c>
      <c r="J47" s="32" t="inlineStr">
        <is>
          <t>La 503 no tiene suscripción en los datos de prueba.</t>
        </is>
      </c>
      <c r="K47" s="30" t="inlineStr">
        <is>
          <t>Pasa</t>
        </is>
      </c>
      <c r="L47" s="30" t="inlineStr">
        <is>
          <t>Probado 12/10/2026 con municipio y el equivalente de la beta: ve los reclamos de la 520 (sin suscripción, 81) y de la 511 (pendiente, 10) y los puede gestionar: en OB-2026-0053 (520) y OB-2026-0129 (511) aparecen "Tomar (En revisión)" y "Anular" (no se tocaron). | En la beta: usar la 520 (sin suscripción) o la 511 (pendiente); el municipio las ve y las gestiona.</t>
        </is>
      </c>
      <c r="M47" s="30" t="inlineStr">
        <is>
          <t>Claude (automatizado)</t>
        </is>
      </c>
      <c r="N47" s="31" t="n">
        <v>46307</v>
      </c>
    </row>
    <row r="48" ht="46.25" customHeight="1" s="21">
      <c r="A48" s="28" t="n">
        <v>47</v>
      </c>
      <c r="B48" s="29" t="inlineStr">
        <is>
          <t>CA-RF25-3</t>
        </is>
      </c>
      <c r="C48" s="28" t="inlineStr">
        <is>
          <t>RF-25 Suscripción por línea</t>
        </is>
      </c>
      <c r="D48" s="28" t="inlineStr">
        <is>
          <t>7. Asignación y suscripciones</t>
        </is>
      </c>
      <c r="E48" s="28" t="inlineStr">
        <is>
          <t>Administrador (SQL Editor), luego tratado@prueba.ojoalbondi</t>
        </is>
      </c>
      <c r="F48" s="28" t="inlineStr">
        <is>
          <t>Base de datos</t>
        </is>
      </c>
      <c r="G48" s="28" t="inlineStr">
        <is>
          <t>Una línea tiene reclamos registrados antes de la suscripción</t>
        </is>
      </c>
      <c r="H48" s="28" t="inlineStr">
        <is>
          <t>El Administrador activa la suscripción de una empresa para esa línea</t>
        </is>
      </c>
      <c r="I48" s="28" t="inlineStr">
        <is>
          <t>La empresa ve también los reclamos anteriores</t>
        </is>
      </c>
      <c r="J48" s="28" t="inlineStr">
        <is>
          <t>insert into suscripciones (linea, organizacion_id, estado) values ('503', 'tratado', 'activa');  → Tratado del Pilar ve también los reclamos viejos de la 503</t>
        </is>
      </c>
      <c r="K48" s="30" t="inlineStr">
        <is>
          <t>Pasa</t>
        </is>
      </c>
      <c r="L48" s="30" t="inlineStr">
        <is>
          <t>En la beta la 503 ya tiene suscripción activa (datos_prueba_beta.sql); se probó con la 511 (Ruta Bus, pendiente): antes rutabus veía 0; al activarla ve los 10 reclamos de la 511, el más viejo del 01/09/2026. Se deshizo.</t>
        </is>
      </c>
      <c r="M48" s="30" t="inlineStr">
        <is>
          <t>Claude (SQL en la beta, en nombre de la cuenta del caso)</t>
        </is>
      </c>
      <c r="N48" s="31" t="n">
        <v>46306</v>
      </c>
    </row>
    <row r="49" ht="35.05" customHeight="1" s="21">
      <c r="A49" s="32" t="n">
        <v>48</v>
      </c>
      <c r="B49" s="33" t="inlineStr">
        <is>
          <t>CA-RF25-4</t>
        </is>
      </c>
      <c r="C49" s="32" t="inlineStr">
        <is>
          <t>RF-25 Suscripción por línea</t>
        </is>
      </c>
      <c r="D49" s="32" t="inlineStr">
        <is>
          <t>7. Asignación y suscripciones</t>
        </is>
      </c>
      <c r="E49" s="32" t="inlineStr">
        <is>
          <t>Administrador (SQL Editor)</t>
        </is>
      </c>
      <c r="F49" s="32" t="inlineStr">
        <is>
          <t>Base de datos</t>
        </is>
      </c>
      <c r="G49" s="32" t="inlineStr">
        <is>
          <t>Una línea ya tiene una suscripción activa</t>
        </is>
      </c>
      <c r="H49" s="32" t="inlineStr">
        <is>
          <t>Se intenta activar una segunda suscripción para la misma línea</t>
        </is>
      </c>
      <c r="I49" s="32" t="inlineStr">
        <is>
          <t>La base de datos rechaza la operación</t>
        </is>
      </c>
      <c r="J49" s="32" t="inlineStr">
        <is>
          <t>insert into suscripciones (linea, organizacion_id, estado) values ('501', 'pilarbus', 'activa');  → error de clave duplicada (suscripciones_una_activa)</t>
        </is>
      </c>
      <c r="K49" s="30" t="inlineStr">
        <is>
          <t>Pasa</t>
        </is>
      </c>
      <c r="L49" s="30" t="inlineStr">
        <is>
          <t>Error de clave duplicada suscripciones_una_activa.</t>
        </is>
      </c>
      <c r="M49" s="30" t="inlineStr">
        <is>
          <t>Claude (SQL en la beta, en nombre de la cuenta del caso)</t>
        </is>
      </c>
      <c r="N49" s="31" t="n">
        <v>46306</v>
      </c>
    </row>
    <row r="50" ht="46.25" customHeight="1" s="21">
      <c r="A50" s="28" t="n">
        <v>49</v>
      </c>
      <c r="B50" s="29" t="inlineStr">
        <is>
          <t>CA-RF25-5</t>
        </is>
      </c>
      <c r="C50" s="28" t="inlineStr">
        <is>
          <t>RF-25 Suscripción por línea</t>
        </is>
      </c>
      <c r="D50" s="28" t="inlineStr">
        <is>
          <t>7. Asignación y suscripciones</t>
        </is>
      </c>
      <c r="E50" s="28" t="inlineStr">
        <is>
          <t>Administrador (SQL Editor), luego tratado@prueba.ojoalbondi y municipio@prueba.ojoalbondi</t>
        </is>
      </c>
      <c r="F50" s="28" t="inlineStr">
        <is>
          <t>Base de datos</t>
        </is>
      </c>
      <c r="G50" s="28" t="inlineStr">
        <is>
          <t>Una empresa tiene una suscripción activa con reclamos en gestión</t>
        </is>
      </c>
      <c r="H50" s="28" t="inlineStr">
        <is>
          <t>El Administrador la suspende</t>
        </is>
      </c>
      <c r="I50" s="28" t="inlineStr">
        <is>
          <t>La empresa deja de ver esos reclamos; los reclamos y su historial se conservan y el municipio los sigue viendo</t>
        </is>
      </c>
      <c r="J50" s="28" t="inlineStr">
        <is>
          <t>update suscripciones set estado = 'suspendida' where linea = '503' and estado = 'activa';  → Tratado del Pilar deja de ver la 503; el municipio la sigue viendo</t>
        </is>
      </c>
      <c r="K50" s="30" t="inlineStr">
        <is>
          <t>Pasa</t>
        </is>
      </c>
      <c r="L50" s="30" t="inlineStr">
        <is>
          <t>Con la 503 suspendida: tratado ve 0 reclamos de la 503 y el municipio 5; siguen los 5 reclamos y las 8 entradas de historial. Se deshizo (la 503 sigue activa).</t>
        </is>
      </c>
      <c r="M50" s="30" t="inlineStr">
        <is>
          <t>Claude (SQL en la beta, en nombre de la cuenta del caso)</t>
        </is>
      </c>
      <c r="N50" s="31" t="n">
        <v>46306</v>
      </c>
    </row>
    <row r="51" ht="57.45" customHeight="1" s="21">
      <c r="A51" s="32" t="n">
        <v>50</v>
      </c>
      <c r="B51" s="33" t="inlineStr">
        <is>
          <t>CA-RF19-1</t>
        </is>
      </c>
      <c r="C51" s="32" t="inlineStr">
        <is>
          <t>RF-19 Historial inmutable</t>
        </is>
      </c>
      <c r="D51" s="32" t="inlineStr">
        <is>
          <t>8. Seguridad en la base de datos</t>
        </is>
      </c>
      <c r="E51" s="32" t="inlineStr">
        <is>
          <t>tratado@prueba.ojoalbondi, luego Administrador (SQL Editor)</t>
        </is>
      </c>
      <c r="F51" s="32" t="inlineStr">
        <is>
          <t>Base de datos</t>
        </is>
      </c>
      <c r="G51" s="32" t="inlineStr">
        <is>
          <t>Un reclamo tiene entradas en su historial</t>
        </is>
      </c>
      <c r="H51" s="32" t="inlineStr">
        <is>
          <t>Se intenta editar o borrar una entrada, incluso desde fuera de la app</t>
        </is>
      </c>
      <c r="I51" s="32" t="inlineStr">
        <is>
          <t>La base de datos rechaza la operación y el historial queda igual</t>
        </is>
      </c>
      <c r="J51" s="32" t="inlineStr">
        <is>
          <t>Como tratado@prueba.ojoalbondi: update historial_estados set comentario = 'x';  → 0 filas afectadas.  Como administrador: el mismo update → error 'El historial de estados no se puede modificar'</t>
        </is>
      </c>
      <c r="K51" s="30" t="inlineStr">
        <is>
          <t>Pasa</t>
        </is>
      </c>
      <c r="L51" s="30" t="inlineStr">
        <is>
          <t>Como tratado, update y delete: "permission denied for table historial_estados" (el plan esperaba 0 filas: igual se rechaza). Como administrador: "El historial de estados no se puede modificar".</t>
        </is>
      </c>
      <c r="M51" s="30" t="inlineStr">
        <is>
          <t>Claude (SQL en la beta, en nombre de la cuenta del caso)</t>
        </is>
      </c>
      <c r="N51" s="31" t="n">
        <v>46306</v>
      </c>
    </row>
    <row r="52" ht="35.05" customHeight="1" s="21">
      <c r="A52" s="28" t="n">
        <v>51</v>
      </c>
      <c r="B52" s="29" t="inlineStr">
        <is>
          <t>CA-RNF01-1</t>
        </is>
      </c>
      <c r="C52" s="28" t="inlineStr">
        <is>
          <t>RNF-01 Seguridad por rol</t>
        </is>
      </c>
      <c r="D52" s="28" t="inlineStr">
        <is>
          <t>8. Seguridad en la base de datos</t>
        </is>
      </c>
      <c r="E52" s="28" t="inlineStr">
        <is>
          <t>vecino1@prueba.ojoalbondi</t>
        </is>
      </c>
      <c r="F52" s="28" t="inlineStr">
        <is>
          <t>Base de datos</t>
        </is>
      </c>
      <c r="G52" s="28" t="inlineStr">
        <is>
          <t>Soy ciudadano</t>
        </is>
      </c>
      <c r="H52" s="28" t="inlineStr">
        <is>
          <t>Consulto la base de datos pidiendo reclamos de otro usuario</t>
        </is>
      </c>
      <c r="I52" s="28" t="inlineStr">
        <is>
          <t>No obtengo ningún resultado</t>
        </is>
      </c>
      <c r="J52" s="28" t="inlineStr">
        <is>
          <t>Como vecino1@prueba.ojoalbondi: select count(*) from reclamos where ciudadano_id &lt;&gt; auth.uid();  → 0</t>
        </is>
      </c>
      <c r="K52" s="30" t="inlineStr">
        <is>
          <t>Pasa</t>
        </is>
      </c>
      <c r="L52" s="30" t="inlineStr">
        <is>
          <t>0 reclamos ajenos (vecino1 ve sus 21).</t>
        </is>
      </c>
      <c r="M52" s="30" t="inlineStr">
        <is>
          <t>Claude (SQL en la beta, en nombre de la cuenta del caso)</t>
        </is>
      </c>
      <c r="N52" s="31" t="n">
        <v>46306</v>
      </c>
    </row>
    <row r="53" ht="35.05" customHeight="1" s="21">
      <c r="A53" s="32" t="n">
        <v>52</v>
      </c>
      <c r="B53" s="33" t="inlineStr">
        <is>
          <t>CA-RNF01-2</t>
        </is>
      </c>
      <c r="C53" s="32" t="inlineStr">
        <is>
          <t>RNF-01 Seguridad por rol</t>
        </is>
      </c>
      <c r="D53" s="32" t="inlineStr">
        <is>
          <t>8. Seguridad en la base de datos</t>
        </is>
      </c>
      <c r="E53" s="32" t="inlineStr">
        <is>
          <t>tratado@prueba.ojoalbondi</t>
        </is>
      </c>
      <c r="F53" s="32" t="inlineStr">
        <is>
          <t>Base de datos</t>
        </is>
      </c>
      <c r="G53" s="32" t="inlineStr">
        <is>
          <t>Soy operador de Tratado del Pilar</t>
        </is>
      </c>
      <c r="H53" s="32" t="inlineStr">
        <is>
          <t>Consulto la base pidiendo reclamos de la línea 510 (Pilar Bus)</t>
        </is>
      </c>
      <c r="I53" s="32" t="inlineStr">
        <is>
          <t>No obtengo ningún resultado</t>
        </is>
      </c>
      <c r="J53" s="32" t="inlineStr">
        <is>
          <t>Como tratado@prueba.ojoalbondi: select count(*) from reclamos_gestion where linea = '510';  → 0</t>
        </is>
      </c>
      <c r="K53" s="30" t="inlineStr">
        <is>
          <t>Pasa</t>
        </is>
      </c>
      <c r="L53" s="30" t="inlineStr">
        <is>
          <t>0 de la 510. También 0 de la 511 y la 520; pilarbus ve 0 de la 501 y la 503.</t>
        </is>
      </c>
      <c r="M53" s="30" t="inlineStr">
        <is>
          <t>Claude (SQL en la beta, en nombre de la cuenta del caso)</t>
        </is>
      </c>
      <c r="N53" s="31" t="n">
        <v>46306</v>
      </c>
    </row>
    <row r="54" ht="46.25" customHeight="1" s="21">
      <c r="A54" s="28" t="n">
        <v>53</v>
      </c>
      <c r="B54" s="29" t="inlineStr">
        <is>
          <t>CA-RN02-2</t>
        </is>
      </c>
      <c r="C54" s="28" t="inlineStr">
        <is>
          <t>RN-02 Cuentas institucionales</t>
        </is>
      </c>
      <c r="D54" s="28" t="inlineStr">
        <is>
          <t>8. Seguridad en la base de datos</t>
        </is>
      </c>
      <c r="E54" s="28" t="inlineStr">
        <is>
          <t>vecino1@prueba.ojoalbondi</t>
        </is>
      </c>
      <c r="F54" s="28" t="inlineStr">
        <is>
          <t>Base de datos</t>
        </is>
      </c>
      <c r="G54" s="28" t="inlineStr">
        <is>
          <t>Tengo cualquier cuenta</t>
        </is>
      </c>
      <c r="H54" s="28" t="inlineStr">
        <is>
          <t>Intento cambiar mi propio rol, incluso desde fuera de la app</t>
        </is>
      </c>
      <c r="I54" s="28" t="inlineStr">
        <is>
          <t>La base de datos rechaza el cambio</t>
        </is>
      </c>
      <c r="J54" s="28" t="inlineStr">
        <is>
          <t>Como vecino1@prueba.ojoalbondi: update perfiles set rol = 'municipio' where id = auth.uid();  → 0 filas afectadas; el rol sigue siendo 'ciudadano'</t>
        </is>
      </c>
      <c r="K54" s="30" t="inlineStr">
        <is>
          <t>Pasa</t>
        </is>
      </c>
      <c r="L54" s="30" t="inlineStr">
        <is>
          <t>0 filas afectadas; el rol sigue "ciudadano".</t>
        </is>
      </c>
      <c r="M54" s="30" t="inlineStr">
        <is>
          <t>Claude (SQL en la beta, en nombre de la cuenta del caso)</t>
        </is>
      </c>
      <c r="N54" s="31" t="n">
        <v>46306</v>
      </c>
    </row>
    <row r="55" ht="35.05" customHeight="1" s="21">
      <c r="A55" s="32" t="n">
        <v>54</v>
      </c>
      <c r="B55" s="33" t="inlineStr">
        <is>
          <t>CA-RN02-3</t>
        </is>
      </c>
      <c r="C55" s="32" t="inlineStr">
        <is>
          <t>RN-02 Cuentas institucionales</t>
        </is>
      </c>
      <c r="D55" s="32" t="inlineStr">
        <is>
          <t>8. Seguridad en la base de datos</t>
        </is>
      </c>
      <c r="E55" s="32" t="inlineStr">
        <is>
          <t>Administrador (SQL Editor), luego la cuenta nueva</t>
        </is>
      </c>
      <c r="F55" s="32" t="inlineStr">
        <is>
          <t>App</t>
        </is>
      </c>
      <c r="G55" s="32" t="inlineStr">
        <is>
          <t>El Administrador creó una cuenta de empresa asociada a una organización</t>
        </is>
      </c>
      <c r="H55" s="32" t="inlineStr">
        <is>
          <t>Esa persona inicia sesión</t>
        </is>
      </c>
      <c r="I55" s="32" t="inlineStr">
        <is>
          <t>Entra a la Bandeja de esa organización</t>
        </is>
      </c>
      <c r="J55" s="32" t="inlineStr">
        <is>
          <t>Crear un usuario en Authentication &gt; Add user y asignarle: update perfiles set rol = 'empresa', organizacion_id = 'pilarbus' where id = '&lt;id&gt;';</t>
        </is>
      </c>
      <c r="K55" s="30" t="n"/>
      <c r="L55" s="30" t="n"/>
      <c r="M55" s="30" t="n"/>
      <c r="N55" s="31" t="n"/>
    </row>
    <row r="56" ht="23.85" customHeight="1" s="21">
      <c r="A56" s="28" t="n">
        <v>55</v>
      </c>
      <c r="B56" s="29" t="inlineStr">
        <is>
          <t>CA-RNF06-1</t>
        </is>
      </c>
      <c r="C56" s="28" t="inlineStr">
        <is>
          <t>RNF-06 Accesibilidad</t>
        </is>
      </c>
      <c r="D56" s="28" t="inlineStr">
        <is>
          <t>9. Accesibilidad</t>
        </is>
      </c>
      <c r="E56" s="28" t="inlineStr">
        <is>
          <t>Cualquiera</t>
        </is>
      </c>
      <c r="F56" s="28" t="inlineStr">
        <is>
          <t>App</t>
        </is>
      </c>
      <c r="G56" s="28" t="inlineStr">
        <is>
          <t>Configuré letra grande en el celular</t>
        </is>
      </c>
      <c r="H56" s="28" t="inlineStr">
        <is>
          <t>Recorro las pantallas de la Etapa 1</t>
        </is>
      </c>
      <c r="I56" s="28" t="inlineStr">
        <is>
          <t>Los textos se agrandan sin cortarse ni superponerse</t>
        </is>
      </c>
      <c r="J56" s="28" t="inlineStr">
        <is>
          <t>Configurar la letra más grande en el celular.</t>
        </is>
      </c>
      <c r="K56" s="30" t="inlineStr">
        <is>
          <t>Pasa</t>
        </is>
      </c>
      <c r="L56" s="30" t="inlineStr">
        <is>
          <t>Tercera prueba 12/10/2026 con letra del sistema al máximo (font_scale 2.0), con vecino1 en Crear reporte: el botón "📍 GPS" quedó debajo del campo Ubicación, a todo el ancho, y el texto de ejemplo "Dirección o parada" se ve entero (campo 371 dp de ancho). Al terminar volví la letra a 1.0. | Repetida el 11/10/2026 con letra del sistema al máximo (font_scale 2.0); recorrí Bienvenida, Login, Registro, Reportar, Mis reportes, Ajustes y Crear reporte. Corregido: la pestaña "Mis reportes" ahora se ve entera (se achica para entrar) y no se superpone con la barra de gestos (queda muy cerca, ~2 dp, pero sin tocarla). Sigue cortado: en Crear reporte, el texto de ejemplo del campo Ubicación se ve "Dirección o parad" (falta la última "a") porque comparte la fila con el botón GPS. El resto se agranda y se desplaza bien, sin cortes ni superposiciones. Al terminar volví la letra a 1.0. | Antes: se cortaban "Mis repo…" y "Escribí la direcció…". | Emulador 11/10/2026 (Claude en VS Code): con letra al máximo se cortaban la pestaña "Mis reportes" y el texto de ejemplo de Ubicación. Corregido en el Cambio N° 36: volver a probar. | Segunda prueba 11/10/2026: las pestañas ya entran; seguía cortado "Dirección o parada" al lado del botón GPS. Corregido en el Cambio N° 37: volver a probar.</t>
        </is>
      </c>
      <c r="M56" s="30" t="inlineStr">
        <is>
          <t>Claude (automatizado)</t>
        </is>
      </c>
      <c r="N56" s="31" t="n">
        <v>46307</v>
      </c>
    </row>
    <row r="57" ht="23.85" customHeight="1" s="21">
      <c r="A57" s="32" t="n">
        <v>56</v>
      </c>
      <c r="B57" s="33" t="inlineStr">
        <is>
          <t>CA-RNF06-2</t>
        </is>
      </c>
      <c r="C57" s="32" t="inlineStr">
        <is>
          <t>RNF-06 Accesibilidad</t>
        </is>
      </c>
      <c r="D57" s="32" t="inlineStr">
        <is>
          <t>9. Accesibilidad</t>
        </is>
      </c>
      <c r="E57" s="32" t="inlineStr">
        <is>
          <t>Cualquiera</t>
        </is>
      </c>
      <c r="F57" s="32" t="inlineStr">
        <is>
          <t>App</t>
        </is>
      </c>
      <c r="G57" s="32" t="inlineStr">
        <is>
          <t>Estoy en cualquier pantalla</t>
        </is>
      </c>
      <c r="H57" s="32" t="inlineStr">
        <is>
          <t>Toco botones, chips y enlaces</t>
        </is>
      </c>
      <c r="I57" s="32" t="inlineStr">
        <is>
          <t>Todos tienen un área táctil de al menos 44 × 44 puntos</t>
        </is>
      </c>
      <c r="J57" s="32" t="n"/>
      <c r="K57" s="30" t="inlineStr">
        <is>
          <t>Pasa</t>
        </is>
      </c>
      <c r="L57" s="30" t="inlineStr">
        <is>
          <t>Tercera prueba 12/10/2026 con letra al máximo, medido con uiautomator en Mapa (1 dp = 2,625 px): "Paradas y líneas" 189,7 × 44,2 dp; "Mapa de calor" 189,7 × 44,2 dp; "Filtros del mapa" 228,6 × 44,2 dp; "X" (Cerrar) de la parada elegida (San Martín y Bolívar) 44,2 × 44,2 dp. Todo ≥ 44. Fuera de lo pedido: los marcadores de parada del mapa miden ~26 dp (son íconos del mapa, no botones de la app), y con la ficha abierta la leyenda "Paradas © colaboradores de OpenStreetMap" queda flotando en medio del mapa. | Repetida el 11/10/2026: medí con uiautomator (1 dp = 2,625 px) los elementos tocables de Bienvenida, Login, Registro, Reportar, Mis reportes, Ajustes y Crear reporte. Todos cumplen 44 × 44: tema "Claro"/"Oscuro" 168 × 44 dp; "Probar" 44 × 44 dp (115 px, minWidth 44 redondeado al píxel) + hitSlop vertical; "← Volver"/"← Cancelar" 44 dp de alto; campos 45; botones 46-50; pestañas 103 × 49; chips de "¿Qué pasó?" 35 + hitSlop 12 = 47. Fuera del alcance de la corrida anterior, en Mapa NO cumplen: "Paradas y líneas"/"Mapa de calor" y "Filtros del mapa" (40 dp de alto, sin hitSlop; MapaPantalla.tsx líneas 158 y 164) y la "X" de la parada elegida (ícono 22 + hitSlop 10 = 42 dp). | Antes (Falla): tema 40 dp y "Probar" 42 dp de ancho. | Emulador 11/10/2026: Claro/Oscuro medían 40 de alto y "Probar" 42 de ancho. Corregido en el Cambio N° 36: volver a probar (falta medir la pantalla Mapa). | Segunda prueba 11/10/2026: Ajustes y "Probar" ya miden 44; en Mapa los botones medían 40 y la X 42. Corregido en el Cambio N° 37: volver a probar. | Se carga Falla porque el criterio es "cualquier pantalla" y Mapa no cumplía.</t>
        </is>
      </c>
      <c r="M57" s="30" t="inlineStr">
        <is>
          <t>Claude (automatizado)</t>
        </is>
      </c>
      <c r="N57" s="31" t="n">
        <v>46307</v>
      </c>
    </row>
    <row r="58" ht="23.85" customHeight="1" s="21">
      <c r="A58" s="28" t="n">
        <v>57</v>
      </c>
      <c r="B58" s="29" t="inlineStr">
        <is>
          <t>CA-RF02-5</t>
        </is>
      </c>
      <c r="C58" s="28" t="inlineStr">
        <is>
          <t>RF-02 Inicio de sesión</t>
        </is>
      </c>
      <c r="D58" s="28" t="inlineStr">
        <is>
          <t>1. Registro e inicio de sesión</t>
        </is>
      </c>
      <c r="E58" s="28" t="inlineStr">
        <is>
          <t>Correo nuevo (base de la beta)</t>
        </is>
      </c>
      <c r="F58" s="28" t="inlineStr">
        <is>
          <t>App</t>
        </is>
      </c>
      <c r="G58" s="28" t="inlineStr">
        <is>
          <t>Me registré en la beta y todavía no confirmé el correo</t>
        </is>
      </c>
      <c r="H58" s="28" t="inlineStr">
        <is>
          <t>Ingreso correo y contraseña y toco "Iniciar sesión"</t>
        </is>
      </c>
      <c r="I58" s="28" t="inlineStr">
        <is>
          <t>Se muestra "Confirmá tu correo con el mail que te enviamos antes de iniciar sesión." y no entro</t>
        </is>
      </c>
      <c r="J58" s="28" t="inlineStr">
        <is>
          <t>Solo en la base de la beta ("Confirm email" activado). En desarrollo la confirmación está desactivada.</t>
        </is>
      </c>
      <c r="K58" s="30" t="inlineStr">
        <is>
          <t>Pasa</t>
        </is>
      </c>
      <c r="L58" s="30" t="inlineStr">
        <is>
          <t>Probado 12/10/2026 en la beta con ojoalbondi.app@gmail.com (contraseña de prueba: OjoBondi2026), recién registrada: el registro mostró "Cuenta creada". Al iniciar sesión sin confirmar se mostró "Confirmá tu correo con el mail que te enviamos antes de iniciar sesión." y la app quedó en Login. | Agregado el 11/10/2026 (Registro de cambio N° 20). | Corrección 11/10/2026: en la beta la confirmación de correo SÍ está activa (una cuenta nueva quedó sin confirmar y Supabase reenvió el mail), así que este caso se puede probar. Se quita el Bloqueado.</t>
        </is>
      </c>
      <c r="M58" s="30" t="inlineStr">
        <is>
          <t>Claude (automatizado)</t>
        </is>
      </c>
      <c r="N58" s="31" t="n">
        <v>46307</v>
      </c>
    </row>
    <row r="59" ht="23.85" customHeight="1" s="21">
      <c r="A59" s="32" t="n">
        <v>58</v>
      </c>
      <c r="B59" s="33" t="inlineStr">
        <is>
          <t>CA-RF02-6</t>
        </is>
      </c>
      <c r="C59" s="32" t="inlineStr">
        <is>
          <t>RF-02 Inicio de sesión</t>
        </is>
      </c>
      <c r="D59" s="32" t="inlineStr">
        <is>
          <t>1. Registro e inicio de sesión</t>
        </is>
      </c>
      <c r="E59" s="32" t="inlineStr">
        <is>
          <t>La cuenta de CA-RF02-5 (base de la beta)</t>
        </is>
      </c>
      <c r="F59" s="32" t="inlineStr">
        <is>
          <t>App</t>
        </is>
      </c>
      <c r="G59" s="32" t="inlineStr">
        <is>
          <t>Abrí el mail de confirmación y confirmé la cuenta</t>
        </is>
      </c>
      <c r="H59" s="32" t="inlineStr">
        <is>
          <t>Inicio sesión con correo y contraseña</t>
        </is>
      </c>
      <c r="I59" s="32" t="inlineStr">
        <is>
          <t>Entro a la pantalla Reportar</t>
        </is>
      </c>
      <c r="J59" s="32" t="inlineStr">
        <is>
          <t>Solo en la base de la beta. Requiere el SMTP propio configurado.</t>
        </is>
      </c>
      <c r="K59" s="30" t="inlineStr">
        <is>
          <t>Pasa</t>
        </is>
      </c>
      <c r="L59" s="30" t="inlineStr">
        <is>
          <t>Probado 12/10/2026 en la beta con ojoalbondi.app@gmail.com después de confirmar el mail: inició sesión y entró a Reportar ("Hola, Prueba"). Ojo: el enlace del mail de confirmación redirige a localhost:3000 (Site URL por defecto de Supabase) y en el celular abre una página de error "This site can't be reached", aunque la cuenta queda confirmada. Conviene configurar Site URL / Redirect URLs en Supabase &gt; Authentication &gt; URL Configuration. | Agregado el 11/10/2026 (Registro de cambio N° 20). | Corrección 11/10/2026: en la beta la confirmación de correo SÍ está activa (una cuenta nueva quedó sin confirmar y Supabase reenvió el mail), así que este caso se puede probar. Se quita el Bloqueado.</t>
        </is>
      </c>
      <c r="M59" s="30" t="inlineStr">
        <is>
          <t>Claude (automatizado)</t>
        </is>
      </c>
      <c r="N59" s="31" t="n">
        <v>46307</v>
      </c>
    </row>
    <row r="60" ht="23.85" customHeight="1" s="21">
      <c r="A60" s="28" t="n">
        <v>59</v>
      </c>
      <c r="B60" s="29" t="inlineStr">
        <is>
          <t>CA-RNF01-3</t>
        </is>
      </c>
      <c r="C60" s="28" t="inlineStr">
        <is>
          <t>RNF-01 Seguridad por rol</t>
        </is>
      </c>
      <c r="D60" s="28" t="inlineStr">
        <is>
          <t>8. Seguridad en la base de datos</t>
        </is>
      </c>
      <c r="E60" s="28" t="inlineStr">
        <is>
          <t>vecino1@prueba.ojoalbondi</t>
        </is>
      </c>
      <c r="F60" s="28" t="inlineStr">
        <is>
          <t>Base de datos</t>
        </is>
      </c>
      <c r="G60" s="28" t="inlineStr">
        <is>
          <t>Soy ciudadano y conozco la clave publicable de la app</t>
        </is>
      </c>
      <c r="H60" s="28" t="inlineStr">
        <is>
          <t>Inserto un reclamo por fuera de la app mandando un ticket inventado y una fecha de registro vieja</t>
        </is>
      </c>
      <c r="I60" s="28" t="inlineStr">
        <is>
          <t>El insert da "permission denied" porque ticket y creado_en no se pueden cargar desde la app. Sin esas dos columnas, el reclamo se guarda con un ticket correlativo OB-AAAA-NNNN y la fecha de registro del momento</t>
        </is>
      </c>
      <c r="J60" s="28" t="inlineStr">
        <is>
          <t>Como vecino1@prueba.ojoalbondi: insert into reclamos (linea, sentido_lugar_id, motivo, interno_patente, fecha_hora_hecho, ubicacion_texto, ticket, creado_en) select '501', lugar_id, 'demora', '123', now() - interval '1 hour', 'Prueba', 'URGENTE', '2020-01-01' from sentidos_por_linea where linea = '501' limit 1 returning ticket, creado_en;  → ticket OB-2026-…, creado_en de hoy. Después, como administrador: delete from reclamos where id = '&lt;id&gt;';</t>
        </is>
      </c>
      <c r="K60" s="30" t="inlineStr">
        <is>
          <t>Pasa</t>
        </is>
      </c>
      <c r="L60" s="30" t="inlineStr">
        <is>
          <t>Requiere la migración 006, que todavía no se corrió en la base de desarrollo: hasta entonces marcar Bloqueado. Agregado el 11/10/2026 (Registro de cambio N° 19). Actualizado el 11/10/2026 (Registro de cambio N° 29): con la migración 007 la base rechaza el insert en vez de ignorar los campos. | Con ticket y creado_en: "permission denied for table reclamos". Sin esas columnas: ticket OB-2026-0151 con fecha de hoy y una sola entrada de historial (Recibido, Sistema). Se deshizo: el contador sigue en 150.</t>
        </is>
      </c>
      <c r="M60" s="30" t="inlineStr">
        <is>
          <t>Claude (SQL en la beta, en nombre de la cuenta del caso)</t>
        </is>
      </c>
      <c r="N60" s="31" t="n">
        <v>46306</v>
      </c>
    </row>
    <row r="61" ht="23.85" customHeight="1" s="21">
      <c r="A61" s="32" t="n">
        <v>60</v>
      </c>
      <c r="B61" s="33" t="inlineStr">
        <is>
          <t>CA-RNF01-4</t>
        </is>
      </c>
      <c r="C61" s="32" t="inlineStr">
        <is>
          <t>RNF-01 Seguridad por rol</t>
        </is>
      </c>
      <c r="D61" s="32" t="inlineStr">
        <is>
          <t>8. Seguridad en la base de datos</t>
        </is>
      </c>
      <c r="E61" s="32" t="inlineStr">
        <is>
          <t>vecino1@prueba.ojoalbondi</t>
        </is>
      </c>
      <c r="F61" s="32" t="inlineStr">
        <is>
          <t>Base de datos</t>
        </is>
      </c>
      <c r="G61" s="32" t="inlineStr">
        <is>
          <t>Conozco la clave publicable de la app y tengo sesión</t>
        </is>
      </c>
      <c r="H61" s="32" t="inlineStr">
        <is>
          <t>Llamo a la función generar_ticket por RPC</t>
        </is>
      </c>
      <c r="I61" s="32" t="inlineStr">
        <is>
          <t>Error "generar_ticket() solo se usa desde el trigger de reclamos" y no se consume ningún número</t>
        </is>
      </c>
      <c r="J61" s="32" t="inlineStr">
        <is>
          <t>Como vecino1: select generar_ticket(); (o POST /rest/v1/rpc/generar_ticket). Sin sesión: "permission denied for function generar_ticket".</t>
        </is>
      </c>
      <c r="K61" s="30" t="inlineStr">
        <is>
          <t>Pasa</t>
        </is>
      </c>
      <c r="L61" s="30" t="inlineStr">
        <is>
          <t>Requiere la migración 007. Agregado el 11/10/2026 (Registro de cambio N° 29). | Desde la migración 008 la función es generar_ticket(p_anio). Con sesión: "generar_ticket() solo se usa desde el trigger de reclamos"; sin sesión: "permission denied for function generar_ticket". La llamada por la API la repite pruebas/probar-api.mjs.</t>
        </is>
      </c>
      <c r="M61" s="30" t="inlineStr">
        <is>
          <t>Claude (SQL en la beta, en nombre de la cuenta del caso)</t>
        </is>
      </c>
      <c r="N61" s="31" t="n">
        <v>46306</v>
      </c>
    </row>
    <row r="62" ht="23.85" customHeight="1" s="21">
      <c r="A62" s="28" t="n">
        <v>61</v>
      </c>
      <c r="B62" s="29" t="inlineStr">
        <is>
          <t>CA-RNF01-5</t>
        </is>
      </c>
      <c r="C62" s="28" t="inlineStr">
        <is>
          <t>RNF-01 Seguridad por rol; RNF-03</t>
        </is>
      </c>
      <c r="D62" s="28" t="inlineStr">
        <is>
          <t>8. Seguridad en la base de datos</t>
        </is>
      </c>
      <c r="E62" s="28" t="inlineStr">
        <is>
          <t>tratado@prueba.ojoalbondi</t>
        </is>
      </c>
      <c r="F62" s="28" t="inlineStr">
        <is>
          <t>Base de datos</t>
        </is>
      </c>
      <c r="G62" s="28" t="inlineStr">
        <is>
          <t>Soy empresa con la línea 501 suscripta y hay reclamos de esa línea</t>
        </is>
      </c>
      <c r="H62" s="28" t="inlineStr">
        <is>
          <t>Leo la tabla reclamos directamente por la API</t>
        </is>
      </c>
      <c r="I62" s="28" t="inlineStr">
        <is>
          <t>No veo ninguna fila (no puedo obtener el id del ciudadano). En la app, la bandeja, el detalle, el historial y la foto se siguen viendo</t>
        </is>
      </c>
      <c r="J62" s="28" t="inlineStr">
        <is>
          <t>Como tratado: select count(*) from reclamos; → 0. select count(*) from reclamos_gestion; → la cantidad de la bandeja.</t>
        </is>
      </c>
      <c r="K62" s="30" t="inlineStr">
        <is>
          <t>Pasa</t>
        </is>
      </c>
      <c r="L62" s="30" t="inlineStr">
        <is>
          <t>Requiere la migración 007. Agregado el 11/10/2026 (Registro de cambio N° 29). | reclamos → 0; reclamos_gestion → 27 (501, 501-503 y 503); ve 47 entradas de historial. Bandeja, detalle y foto se miran en el celular (los datos de prueba no tienen fotos).</t>
        </is>
      </c>
      <c r="M62" s="30" t="inlineStr">
        <is>
          <t>Claude (SQL en la beta, en nombre de la cuenta del caso)</t>
        </is>
      </c>
      <c r="N62" s="31" t="n">
        <v>46306</v>
      </c>
    </row>
    <row r="63" ht="23.85" customHeight="1" s="21">
      <c r="A63" s="32" t="n">
        <v>62</v>
      </c>
      <c r="B63" s="33" t="inlineStr">
        <is>
          <t>CA-RNF01-6</t>
        </is>
      </c>
      <c r="C63" s="32" t="inlineStr">
        <is>
          <t>RNF-01 Seguridad por rol; RF-03</t>
        </is>
      </c>
      <c r="D63" s="32" t="inlineStr">
        <is>
          <t>8. Seguridad en la base de datos</t>
        </is>
      </c>
      <c r="E63" s="32" t="inlineStr">
        <is>
          <t>vecino1@prueba.ojoalbondi</t>
        </is>
      </c>
      <c r="F63" s="32" t="inlineStr">
        <is>
          <t>Base de datos</t>
        </is>
      </c>
      <c r="G63" s="32" t="inlineStr">
        <is>
          <t>Tengo sesión de ciudadano</t>
        </is>
      </c>
      <c r="H63" s="32" t="inlineStr">
        <is>
          <t>Inserto por la API un reclamo con fecha del hecho en el futuro, o con la foto de otra carpeta</t>
        </is>
      </c>
      <c r="I63" s="32" t="inlineStr">
        <is>
          <t>Error "La fecha y hora del hecho no puede ser futura" o "La foto no pertenece a tu cuenta"; no se guarda nada</t>
        </is>
      </c>
      <c r="J63" s="32" t="inlineStr">
        <is>
          <t>Como vecino1: insert into reclamos (linea, sentido_lugar_id, motivo, interno_patente, fecha_hora_hecho, ubicacion_texto) select '501', lugar_id, 'demora', '1', '2030-01-01 10:00', 'Prueba' from sentidos_por_linea where linea = '501' limit 1;</t>
        </is>
      </c>
      <c r="K63" s="30" t="inlineStr">
        <is>
          <t>Pasa</t>
        </is>
      </c>
      <c r="L63" s="30" t="inlineStr">
        <is>
          <t>Requiere la migración 007. Agregado el 11/10/2026 (Registro de cambio N° 29). | "La fecha y hora del hecho no puede ser futura" y "La foto no pertenece a tu cuenta"; no se guardó nada.</t>
        </is>
      </c>
      <c r="M63" s="30" t="inlineStr">
        <is>
          <t>Claude (SQL en la beta, en nombre de la cuenta del caso)</t>
        </is>
      </c>
      <c r="N63" s="31" t="n">
        <v>46306</v>
      </c>
    </row>
    <row r="64" ht="23.85" customHeight="1" s="21">
      <c r="A64" s="28" t="n">
        <v>63</v>
      </c>
      <c r="B64" s="29" t="inlineStr">
        <is>
          <t>CA-RF26-3</t>
        </is>
      </c>
      <c r="C64" s="28" t="inlineStr">
        <is>
          <t>RF-26 Perfil Administración</t>
        </is>
      </c>
      <c r="D64" s="28" t="inlineStr">
        <is>
          <t>8. Seguridad en la base de datos</t>
        </is>
      </c>
      <c r="E64" s="28" t="inlineStr">
        <is>
          <t>admin@prueba.ojoalbondi</t>
        </is>
      </c>
      <c r="F64" s="28" t="inlineStr">
        <is>
          <t>Base de datos</t>
        </is>
      </c>
      <c r="G64" s="28" t="inlineStr">
        <is>
          <t>Soy administrador</t>
        </is>
      </c>
      <c r="H64" s="28" t="inlineStr">
        <is>
          <t>Llamo a admin_asignar_rol con rol municipio y una organización de tipo empresa</t>
        </is>
      </c>
      <c r="I64" s="28" t="inlineStr">
        <is>
          <t>Error "La organización elegida no corresponde al rol municipio" y la cuenta no cambia</t>
        </is>
      </c>
      <c r="J64" s="28" t="inlineStr">
        <is>
          <t>Como admin: select admin_asignar_rol('&lt;id de vecino1&gt;', 'municipio', 'tratado');</t>
        </is>
      </c>
      <c r="K64" s="30" t="inlineStr">
        <is>
          <t>Pasa</t>
        </is>
      </c>
      <c r="L64" s="30" t="inlineStr">
        <is>
          <t>La pantalla Cuentas ya filtra las organizaciones; esto controla la base. Requiere la migración 007. Agregado el 11/10/2026 (Registro de cambio N° 29). | "La organización elegida no corresponde al rol municipio". Además, una empresa que llama a admin_asignar_rol recibe "Solo el administrador puede cambiar roles".</t>
        </is>
      </c>
      <c r="M64" s="30" t="inlineStr">
        <is>
          <t>Claude (SQL en la beta, en nombre de la cuenta del caso)</t>
        </is>
      </c>
      <c r="N64" s="31" t="n">
        <v>46306</v>
      </c>
    </row>
    <row r="65" ht="23.85" customHeight="1" s="21">
      <c r="A65" s="32" t="n">
        <v>64</v>
      </c>
      <c r="B65" s="33" t="inlineStr">
        <is>
          <t>CA-RF10-3</t>
        </is>
      </c>
      <c r="C65" s="32" t="inlineStr">
        <is>
          <t>RF-10 Acceso por rol</t>
        </is>
      </c>
      <c r="D65" s="32" t="inlineStr">
        <is>
          <t>5. Institución: acceso y bandeja</t>
        </is>
      </c>
      <c r="E65" s="32" t="inlineStr">
        <is>
          <t>tratado@prueba.ojoalbondi</t>
        </is>
      </c>
      <c r="F65" s="32" t="inlineStr">
        <is>
          <t>App</t>
        </is>
      </c>
      <c r="G65" s="32" t="inlineStr">
        <is>
          <t>Entré una vez con conexión y cerré la app sin cerrar sesión</t>
        </is>
      </c>
      <c r="H65" s="32" t="inlineStr">
        <is>
          <t>Activo el modo avión y vuelvo a abrir la app</t>
        </is>
      </c>
      <c r="I65" s="32" t="inlineStr">
        <is>
          <t>Sigo viendo la bandeja de la empresa (no la pantalla del ciudadano)</t>
        </is>
      </c>
      <c r="J65" s="32" t="n"/>
      <c r="K65" s="30" t="inlineStr">
        <is>
          <t>Pasa</t>
        </is>
      </c>
      <c r="L65" s="30" t="inlineStr">
        <is>
          <t>Revisión del Cambio N° 42 (12/10/2026, tratado). Bandeja sin conexión: reabrí la app en modo avión (exp://localhost:8081 con adb reverse) y la Bandeja muestra solo "No se pudieron cargar los reclamos. Revisá tu conexión.", con los contadores en "–"; ya no aparecen "Sin líneas habilitadas…" ni "No hay reclamos pendientes." (tampoco "No hay reclamos asignados." en Todos). Al sacar el modo avión y deslizar para recargar volvieron "Líneas habilitadas: 501, 501-503, 503", los contadores y la lista. Pendientes y Todos miden 116 px = 44 dp de alto (uiautomator, densidad 420). Captura CA42-1 (sin conexión y después de recargar). | Probado 12/10/2026 con tratado: entré con conexión, cerré Expo Go (force-stop) sin cerrar sesión, activé el modo avión y lo volví a abrir: aparece la Bandeja de Tratado del Pilar (no la pantalla del ciudadano). Como en modo avión Expo Go no puede bajar el código por la red local, el proyecto se abrió como exp://localhost:8081 con adb reverse (Supabase igual sin conexión). Detalle: sin conexión la Bandeja muestra "No se pudieron cargar los reclamos. Revisá tu conexión." pero también "Sin líneas habilitadas todavía: el administrador tiene que aprobar la suscripción." y "No hay reclamos pendientes.", que confunden (no es que no haya, es que no se pudieron cargar). Modo avión desactivado al terminar. | Agregado el 11/10/2026 (Registro de cambio N° 30).</t>
        </is>
      </c>
      <c r="M65" s="30" t="inlineStr">
        <is>
          <t>Claude (automatizado)</t>
        </is>
      </c>
      <c r="N65" s="31" t="n">
        <v>46307</v>
      </c>
    </row>
    <row r="66" ht="23.85" customHeight="1" s="21">
      <c r="A66" s="28" t="n">
        <v>65</v>
      </c>
      <c r="B66" s="29" t="inlineStr">
        <is>
          <t>CA-RF11-4</t>
        </is>
      </c>
      <c r="C66" s="28" t="inlineStr">
        <is>
          <t>RF-11 Bandeja de reclamos</t>
        </is>
      </c>
      <c r="D66" s="28" t="inlineStr">
        <is>
          <t>5. Institución: acceso y bandeja</t>
        </is>
      </c>
      <c r="E66" s="28" t="inlineStr">
        <is>
          <t>municipio@prueba.ojoalbondi</t>
        </is>
      </c>
      <c r="F66" s="28" t="inlineStr">
        <is>
          <t>App</t>
        </is>
      </c>
      <c r="G66" s="28" t="inlineStr">
        <is>
          <t>Hay más de 40 reclamos en "Todos"</t>
        </is>
      </c>
      <c r="H66" s="28" t="inlineStr">
        <is>
          <t>Bajo rápido hasta el final de la lista varias veces y cambio entre "Pendientes" y "Todos"</t>
        </is>
      </c>
      <c r="I66" s="28" t="inlineStr">
        <is>
          <t>Ningún reclamo aparece repetido y la lista corresponde al filtro elegido</t>
        </is>
      </c>
      <c r="J66" s="28" t="n"/>
      <c r="K66" s="30" t="inlineStr">
        <is>
          <t>Pasa</t>
        </is>
      </c>
      <c r="L66" s="30" t="inlineStr">
        <is>
          <t>Probado 12/10/2026 con municipio (154 reclamos en Todos, 86 pendientes): en dos vueltas, por cada filtro bajé rápido hasta el final 40 veces, volví arriba y recorrí la lista entera: Pendientes 86/86 y Todos 154/154, sin repetidos y sin Atendidos/Anulados en Pendientes. Cambié entre Pendientes y Todos varias veces. | Agregado el 11/10/2026 (Registro de cambio N° 30).</t>
        </is>
      </c>
      <c r="M66" s="30" t="inlineStr">
        <is>
          <t>Claude (automatizado)</t>
        </is>
      </c>
      <c r="N66" s="31" t="n">
        <v>46307</v>
      </c>
    </row>
    <row r="67" ht="23.85" customHeight="1" s="21">
      <c r="A67" s="32" t="n">
        <v>66</v>
      </c>
      <c r="B67" s="33" t="inlineStr">
        <is>
          <t>CA-RF07-3</t>
        </is>
      </c>
      <c r="C67" s="32" t="inlineStr">
        <is>
          <t>RF-07 Modo sin conexión</t>
        </is>
      </c>
      <c r="D67" s="32" t="inlineStr">
        <is>
          <t>4. Ciudadano: sin conexión</t>
        </is>
      </c>
      <c r="E67" s="32" t="inlineStr">
        <is>
          <t>vecino1@prueba.ojoalbondi</t>
        </is>
      </c>
      <c r="F67" s="32" t="inlineStr">
        <is>
          <t>App</t>
        </is>
      </c>
      <c r="G67" s="32" t="inlineStr">
        <is>
          <t>Guardé sin conexión un reclamo con foto</t>
        </is>
      </c>
      <c r="H67" s="32" t="inlineStr">
        <is>
          <t>Vuelve la señal y se envía solo; después cierro y abro la app con conexión</t>
        </is>
      </c>
      <c r="I67" s="32" t="inlineStr">
        <is>
          <t>En Mis reportes aparece una sola vez, con un único ticket; la institución ve la foto</t>
        </is>
      </c>
      <c r="J67" s="32" t="n"/>
      <c r="K67" s="30" t="inlineStr">
        <is>
          <t>Pasa</t>
        </is>
      </c>
      <c r="L67" s="30" t="inlineStr">
        <is>
          <t>Probado 12/10/2026 con modo avión: reclamo con foto (501, hacia San Alejo, Mal estado de la unidad, "PRUEBA EMULADOR CA-RF07-3 con foto") → "Guardado como borrador" con "Foto adjunta al reporte". Al volver la señal se envió solo como OB-2026-0154; después cerré Expo Go (force-stop) y lo abrí con conexión: en Mis reportes aparece una sola vez (25 reclamos, sin borradores), y en la base hay una sola fila con la foto en Storage (fotos-reclamos, 23 KB). Con tratado@prueba.ojoalbondi (Bandeja) el reclamo muestra la foto. IMPORTANTE: la foto se sacó con la cámara del emulador, no de la galería: "Galería" no abre nada porque en este emulador (Android 15) el selector de fotos del sistema está desactivado (ActivityNotFoundException para PICK_IMAGES); la app no muestra ningún mensaje y en desarrollo sale "Uncaught (in promise) … launchImageLibraryAsync has been rejected". Conviene atrapar ese error y avisar al usuario. | Agregado el 11/10/2026 (Registro de cambio N° 30).</t>
        </is>
      </c>
      <c r="M67" s="30" t="inlineStr">
        <is>
          <t>Claude (automatizado)</t>
        </is>
      </c>
      <c r="N67" s="31" t="n">
        <v>46307</v>
      </c>
    </row>
    <row r="68" ht="23.85" customHeight="1" s="21">
      <c r="A68" s="28" t="n">
        <v>67</v>
      </c>
      <c r="B68" s="29" t="inlineStr">
        <is>
          <t>CA-RF01-6</t>
        </is>
      </c>
      <c r="C68" s="28" t="inlineStr">
        <is>
          <t>RF-01 Registro</t>
        </is>
      </c>
      <c r="D68" s="28" t="inlineStr">
        <is>
          <t>8. Seguridad en la base de datos</t>
        </is>
      </c>
      <c r="E68" s="28" t="inlineStr">
        <is>
          <t>Correo nuevo (sin cuenta)</t>
        </is>
      </c>
      <c r="F68" s="28" t="inlineStr">
        <is>
          <t>Base de datos</t>
        </is>
      </c>
      <c r="G68" s="28" t="inlineStr">
        <is>
          <t>Conozco la clave publicable de la app</t>
        </is>
      </c>
      <c r="H68" s="28" t="inlineStr">
        <is>
          <t>Me registro por la API (auth.signUp) sin mandar la fecha de nacimiento, o con una fecha inválida</t>
        </is>
      </c>
      <c r="I68" s="28" t="inlineStr">
        <is>
          <t>La cuenta no se crea. En los logs de Auth figura "Registro: falta la fecha de nacimiento o no es válida"; la app mostraría "No se pudo crear la cuenta. Revisá nombre, apellido y fecha de nacimiento."</t>
        </is>
      </c>
      <c r="J68" s="28" t="inlineStr">
        <is>
          <t>Con supabase-js: supabase.auth.signUp({ email, password, options: { data: { nombre: "A", apellido: "B" } } }) → error "Database error saving new user".</t>
        </is>
      </c>
      <c r="K68" s="30" t="inlineStr">
        <is>
          <t>Pasa</t>
        </is>
      </c>
      <c r="L68" s="30" t="inlineStr">
        <is>
          <t>Requiere la migración 008. Agregado el 11/10/2026 (Registro de cambio N° 31). | Verificado en la base simulando el alta: sin fecha de nacimiento o con fecha futura falla con "Registro: falta la fecha de nacimiento o no es válida" y no se crea la cuenta. La respuesta de la API la confirma pruebas/probar-api.mjs.</t>
        </is>
      </c>
      <c r="M68" s="30" t="inlineStr">
        <is>
          <t>Claude (SQL en la beta, en nombre de la cuenta del caso)</t>
        </is>
      </c>
      <c r="N68" s="31" t="n">
        <v>46306</v>
      </c>
    </row>
    <row r="69" ht="23.85" customHeight="1" s="21">
      <c r="A69" s="32" t="n">
        <v>68</v>
      </c>
      <c r="B69" s="33" t="inlineStr">
        <is>
          <t>CA-RF06-4</t>
        </is>
      </c>
      <c r="C69" s="32" t="inlineStr">
        <is>
          <t>RF-06 Ajustes</t>
        </is>
      </c>
      <c r="D69" s="32" t="inlineStr">
        <is>
          <t>3. Ciudadano: inicio, mis reportes y ajustes</t>
        </is>
      </c>
      <c r="E69" s="32" t="inlineStr">
        <is>
          <t>vecino1@prueba.ojoalbondi</t>
        </is>
      </c>
      <c r="F69" s="32" t="inlineStr">
        <is>
          <t>App</t>
        </is>
      </c>
      <c r="G69" s="32" t="inlineStr">
        <is>
          <t>Estoy en Ajustes</t>
        </is>
      </c>
      <c r="H69" s="32" t="inlineStr">
        <is>
          <t>Recorro la pantalla</t>
        </is>
      </c>
      <c r="I69" s="32" t="inlineStr">
        <is>
          <t>No aparece la sección Notificaciones ni el interruptor "Avisos de estado"; sí Apariencia, Permisos, Legal y Cerrar sesión</t>
        </is>
      </c>
      <c r="J69" s="32" t="n"/>
      <c r="K69" s="30" t="inlineStr">
        <is>
          <t>Pasa</t>
        </is>
      </c>
      <c r="L69" s="30" t="inlineStr">
        <is>
          <t>Agregado el 11/10/2026 (Registro de cambio N° 32). Vuelve cuando se implemente RF-09. | Emulador 11/10/2026: falló porque la carpeta usada no tenía el zip de la revisión de código (Cambio N° 32). Repetir con ese zip aplicado. | Segunda prueba 11/10/2026 con el zip de la revisión aplicado: pasa.</t>
        </is>
      </c>
      <c r="M69" s="30" t="inlineStr">
        <is>
          <t>Claude en VS Code (emulador)</t>
        </is>
      </c>
      <c r="N69" s="31" t="n">
        <v>46306</v>
      </c>
    </row>
    <row r="70" ht="23.85" customHeight="1" s="21">
      <c r="A70" s="28" t="n">
        <v>69</v>
      </c>
      <c r="B70" s="29" t="inlineStr">
        <is>
          <t>CA-RF07-4</t>
        </is>
      </c>
      <c r="C70" s="28" t="inlineStr">
        <is>
          <t>RF-07 Modo sin conexión</t>
        </is>
      </c>
      <c r="D70" s="28" t="inlineStr">
        <is>
          <t>4. Ciudadano: sin conexión</t>
        </is>
      </c>
      <c r="E70" s="28" t="inlineStr">
        <is>
          <t>vecino1@prueba.ojoalbondi</t>
        </is>
      </c>
      <c r="F70" s="28" t="inlineStr">
        <is>
          <t>App</t>
        </is>
      </c>
      <c r="G70" s="28" t="inlineStr">
        <is>
          <t>Guardé sin conexión un reclamo y, antes de que vuelva la señal, el administrador desactivó en la base el ramal del sentido que elegí</t>
        </is>
      </c>
      <c r="H70" s="28" t="inlineStr">
        <is>
          <t>Vuelve la señal y entro a Mis reportes</t>
        </is>
      </c>
      <c r="I70" s="28" t="inlineStr">
        <is>
          <t>Aparece "Borrador sin enviar" con el motivo ("El sentido elegido no corresponde a la línea…") y los botones Reintentar y Descartar. Descartar pide confirmación y lo borra</t>
        </is>
      </c>
      <c r="J70" s="28" t="inlineStr">
        <is>
          <t>Para provocar el rechazo, como administrador en el SQL Editor: update ramales set activo = false where id = &lt;ramal del sentido&gt;; (después volver a activarlo).</t>
        </is>
      </c>
      <c r="K70" s="30" t="inlineStr">
        <is>
          <t>Pasa</t>
        </is>
      </c>
      <c r="L70" s="30" t="inlineStr">
        <is>
          <t>Probado 12/10/2026 con vecino1: con modo avión guardé un borrador (501, hacia San Alejo, "PRUEBA EMULADOR CA-RF07-4"); el equipo desactivó en la beta el ramal 2 (501 Pilar–San Alejo, el único con ese destino). Al volver la señal, Mis reportes mostró "Borrador sin enviar · Línea 501", "Hecho del 12/10/2026 07:50 hs", el motivo "El sentido elegido no corresponde a la línea. Volvé a elegirlo." y los botones Reintentar y Descartar. Descartar pidió confirmación ("Descartar borrador — El reporte no se va a enviar y se borra del celular.", CANCELAR / DESCARTAR) y al confirmar el borrador desapareció; en la base no se creó ningún reclamo. Detalle: el primer intento de envío fue justo al abrir la app mientras volvía el wifi, falló como error de red y el borrador quedó "esperando conexión" sin reintentarse hasta un nuevo cambio de red (activé y desactivé el modo avión). Recordar volver a activar el ramal 2. Captura: borrador esperando, rechazo, confirmación y lista final. | Agregado el 11/10/2026 (Registro de cambio N° 32).</t>
        </is>
      </c>
      <c r="M70" s="30" t="inlineStr">
        <is>
          <t>Claude (automatizado)</t>
        </is>
      </c>
      <c r="N70" s="31" t="n">
        <v>46307</v>
      </c>
    </row>
    <row r="71" ht="23.85" customHeight="1" s="21">
      <c r="A71" s="32" t="n">
        <v>70</v>
      </c>
      <c r="B71" s="33" t="inlineStr">
        <is>
          <t>CA-RNF01-7</t>
        </is>
      </c>
      <c r="C71" s="32" t="inlineStr">
        <is>
          <t>RNF-01 Seguridad por rol</t>
        </is>
      </c>
      <c r="D71" s="32" t="inlineStr">
        <is>
          <t>8. Seguridad en la base de datos</t>
        </is>
      </c>
      <c r="E71" s="32" t="inlineStr">
        <is>
          <t>vecino1@prueba.ojoalbondi</t>
        </is>
      </c>
      <c r="F71" s="32" t="inlineStr">
        <is>
          <t>Base de datos</t>
        </is>
      </c>
      <c r="G71" s="32" t="inlineStr">
        <is>
          <t>Tengo sesión de ciudadano</t>
        </is>
      </c>
      <c r="H71" s="32" t="inlineStr">
        <is>
          <t>Subo a mi carpeta del bucket fotos-reclamos un PDF, o una foto JPEG de más de 5 MB</t>
        </is>
      </c>
      <c r="I71" s="32" t="inlineStr">
        <is>
          <t>Storage rechaza la subida (tipo no permitido o archivo demasiado grande)</t>
        </is>
      </c>
      <c r="J71" s="32" t="inlineStr">
        <is>
          <t>Con supabase-js: supabase.storage.from("fotos-reclamos").upload("&lt;mi id&gt;/prueba.pdf", archivo, { contentType: "application/pdf" }) → error.</t>
        </is>
      </c>
      <c r="K71" s="30" t="inlineStr">
        <is>
          <t>Pasa</t>
        </is>
      </c>
      <c r="L71" s="30" t="inlineStr">
        <is>
          <t>Probado 12/10/2026 a las 17:52 con node pruebas/probar-api.mjs contra la beta (salida completa; la hora del final sale en formato de 12 h sin AM/PM):
✔ Pasa   CA-RF02-1 (API) login vecino1  ·  HTTP 200
✔ Pasa   CA-RF02-2 (API) contraseña incorrecta  ·  HTTP 400 · Invalid login credentials
✔ Pasa   CA-RF01-6 alta sin fecha de nacimiento  ·  HTTP 500 · Database error saving new user
✔ Pasa   CA-RF01-6 alta con fecha futura  ·  HTTP 500 · Database error saving new user
✔ Pasa   CA-RNF01-1 (API) vecino1 no ve reclamos ajenos  ·  25 propios, 0 ajenos
✔ Pasa   CA-RNF01-2 (API) tratado no ve la 510  ·  []
✔ Pasa   CA-RNF01-5 (API) tratado: reclamos vacío, reclamos_gestion con datos  ·  reclamos: 0 · reclamos_gestion: 31
✔ Pasa   CA-RN02-2 (API) vecino1 intenta cambiar su rol  ·  PATCH HTTP 200 · rol actual: ciudadano
✔ Pasa   CA-RNF01-3 (API) insert con ticket inventado  ·  HTTP 403 · permission denied for table reclamos
✔ Pasa   CA-RNF01-4 (API) generar_ticket con sesión  ·  HTTP 403 · generar_ticket() solo se usa desde el trigger de reclamos
✔ Pasa   CA-RNF01-4 (API) generar_ticket sin sesión  ·  HTTP 401 · permission denied for function generar_ticket
✔ Pasa   CA-RNF01-7 subir PDF  ·  HTTP 400 · mime type application/pdf is not supported
✔ Pasa   CA-RNF01-7 subir JPEG de 6 MB  ·  HTTP 400 · The object exceeded the maximum allowed size
13 comprobaciones · 13 pasan · 0 fallan · 12/10/2026, 05:52:37 | Requiere la migración 009. Agregado el 11/10/2026 (Registro de cambio N° 32). | Base revisada el 11/10/2026: el bucket ya es privado, solo image/jpeg y hasta 5 MB (la migración 009 ya rige en la beta). Falta la subida real, que pasa por la API de Storage: correr pruebas/probar-api.mjs desde VS Code.</t>
        </is>
      </c>
      <c r="M71" s="30" t="inlineStr">
        <is>
          <t>Claude (automatizado)</t>
        </is>
      </c>
      <c r="N71" s="31" t="n">
        <v>46307</v>
      </c>
    </row>
    <row r="72" ht="23.85" customHeight="1" s="21">
      <c r="A72" s="28" t="n">
        <v>71</v>
      </c>
      <c r="B72" s="29" t="inlineStr">
        <is>
          <t>CA-RF26-1</t>
        </is>
      </c>
      <c r="C72" s="28" t="inlineStr">
        <is>
          <t>RF-26 Perfil Administración</t>
        </is>
      </c>
      <c r="D72" s="28" t="inlineStr">
        <is>
          <t>7. Asignación y suscripciones</t>
        </is>
      </c>
      <c r="E72" s="28" t="inlineStr">
        <is>
          <t>admin@prueba.ojoalbondi, luego la cuenta de la empresa</t>
        </is>
      </c>
      <c r="F72" s="28" t="inlineStr">
        <is>
          <t>App</t>
        </is>
      </c>
      <c r="G72" s="28" t="inlineStr">
        <is>
          <t>Soy administrador y una línea no tiene suscripción activa</t>
        </is>
      </c>
      <c r="H72" s="28" t="inlineStr">
        <is>
          <t>En Suscripciones activo la suscripción de esa línea eligiendo una empresa</t>
        </is>
      </c>
      <c r="I72" s="28" t="inlineStr">
        <is>
          <t>La línea muestra la suscripción activa y la empresa ve sus reclamos en la Bandeja</t>
        </is>
      </c>
      <c r="J72" s="28" t="n"/>
      <c r="K72" s="30" t="inlineStr">
        <is>
          <t>Pasa</t>
        </is>
      </c>
      <c r="L72" s="30" t="inlineStr">
        <is>
          <t>Probado 12/10/2026 con admin: en Suscripciones la Línea 511 figuraba "Sin suscripción · Opera: Ruta Bus · Gestiona: Municipio" (en la base, pendiente). "Activar suscripción" (empresa Ruta Bus preseleccionada) &gt; Activar: quedó "Suscripción activa · Gestiona: Ruta Bus · desde 12/10/2026", y rutabus ve los 10 reclamos de la 511. Detalle: en la base quedó una fila nueva "activa" y la vieja "pendiente" sigue (dos filas para la 511). Expo Go se cayó (crash del WebView) justo después de activar; la activación ya estaba guardada.</t>
        </is>
      </c>
      <c r="M72" s="30" t="inlineStr">
        <is>
          <t>Claude (automatizado)</t>
        </is>
      </c>
      <c r="N72" s="31" t="n">
        <v>46307</v>
      </c>
    </row>
    <row r="73" ht="23.85" customHeight="1" s="21">
      <c r="A73" s="32" t="n">
        <v>72</v>
      </c>
      <c r="B73" s="33" t="inlineStr">
        <is>
          <t>CA-RF26-2</t>
        </is>
      </c>
      <c r="C73" s="32" t="inlineStr">
        <is>
          <t>RF-26 Perfil Administración</t>
        </is>
      </c>
      <c r="D73" s="32" t="inlineStr">
        <is>
          <t>7. Asignación y suscripciones</t>
        </is>
      </c>
      <c r="E73" s="32" t="inlineStr">
        <is>
          <t>admin@prueba.ojoalbondi, luego la cuenta elegida</t>
        </is>
      </c>
      <c r="F73" s="32" t="inlineStr">
        <is>
          <t>App</t>
        </is>
      </c>
      <c r="G73" s="32" t="inlineStr">
        <is>
          <t>Soy administrador</t>
        </is>
      </c>
      <c r="H73" s="32" t="inlineStr">
        <is>
          <t>En Cuentas busco una cuenta y le asigno el rol empresa con su organización</t>
        </is>
      </c>
      <c r="I73" s="32" t="inlineStr">
        <is>
          <t>Al iniciar sesión, esa cuenta entra a la Bandeja de la organización</t>
        </is>
      </c>
      <c r="J73" s="32" t="n"/>
      <c r="K73" s="30" t="inlineStr">
        <is>
          <t>Pasa</t>
        </is>
      </c>
      <c r="L73" s="30" t="inlineStr">
        <is>
          <t>Probado 12/10/2026 con admin: en Cuentas busqué ojoalbondi.app, le puse rol "Empresa de transporte" y organización Pilar Bus, Guardar. Al iniciar sesión con esa cuenta entró a la Bandeja de Pilar Bus (línea 510). Después, desde Cuentas, la volví a Ciudadano (en la base: ciudadano, sin organización).</t>
        </is>
      </c>
      <c r="M73" s="30" t="inlineStr">
        <is>
          <t>Claude (automatizado)</t>
        </is>
      </c>
      <c r="N73" s="31" t="n">
        <v>46307</v>
      </c>
    </row>
    <row r="74" ht="23.85" customHeight="1" s="21">
      <c r="A74" s="28" t="n">
        <v>73</v>
      </c>
      <c r="B74" s="29" t="inlineStr">
        <is>
          <t>CA-RNF10-1</t>
        </is>
      </c>
      <c r="C74" s="28" t="inlineStr">
        <is>
          <t>RNF-10 Datos de prueba</t>
        </is>
      </c>
      <c r="D74" s="28" t="inlineStr">
        <is>
          <t>7. Asignación y suscripciones</t>
        </is>
      </c>
      <c r="E74" s="28" t="inlineStr">
        <is>
          <t>vecino1, tratado, municipio y admin @prueba.ojoalbondi</t>
        </is>
      </c>
      <c r="F74" s="28" t="inlineStr">
        <is>
          <t>App</t>
        </is>
      </c>
      <c r="G74" s="28" t="inlineStr">
        <is>
          <t>La app en Expo Go apunta a la beta (.env de PASO_A_PASO.md) y los datos de prueba están cargados</t>
        </is>
      </c>
      <c r="H74" s="28" t="inlineStr">
        <is>
          <t>Inicio sesión con cada una de esas cuentas (contraseña Prueba123!)</t>
        </is>
      </c>
      <c r="I74" s="28" t="inlineStr">
        <is>
          <t>vecino1 ve sus reclamos en Mis reportes; tratado ve en la Bandeja solo reclamos de la 501, 501-503 y 503; municipio ve los de todas las líneas; admin ve Suscripciones y Cuentas</t>
        </is>
      </c>
      <c r="J74" s="28" t="n"/>
      <c r="K74" s="30" t="inlineStr">
        <is>
          <t>Pasa</t>
        </is>
      </c>
      <c r="L74" s="30" t="inlineStr">
        <is>
          <t>Probado 12/10/2026 en la beta: vecino1 ve sus reclamos en Mis reportes (25); tratado ve en la Bandeja solo 501, 501-503 y 503 (31); municipio ve todas las líneas (154); admin entra a Administración con las pestañas Suscripciones, Cuentas, Mapa y Ajustes. | Agregado el 11/10/2026 (Registro de cambio N° 33).</t>
        </is>
      </c>
      <c r="M74" s="30" t="inlineStr">
        <is>
          <t>Claude (automatizado)</t>
        </is>
      </c>
      <c r="N74" s="31" t="n">
        <v>46307</v>
      </c>
    </row>
    <row r="75" ht="23.85" customHeight="1" s="21">
      <c r="A75" s="32" t="n">
        <v>74</v>
      </c>
      <c r="B75" s="33" t="inlineStr">
        <is>
          <t>CA-RNF10-2</t>
        </is>
      </c>
      <c r="C75" s="32" t="inlineStr">
        <is>
          <t>RNF-10 Datos de prueba</t>
        </is>
      </c>
      <c r="D75" s="32" t="inlineStr">
        <is>
          <t>7. Asignación y suscripciones</t>
        </is>
      </c>
      <c r="E75" s="32" t="inlineStr">
        <is>
          <t>admin@prueba.ojoalbondi, luego rutabus@prueba.ojoalbondi</t>
        </is>
      </c>
      <c r="F75" s="32" t="inlineStr">
        <is>
          <t>App</t>
        </is>
      </c>
      <c r="G75" s="32" t="inlineStr">
        <is>
          <t>La 511 no tiene suscripción activa y rutabus tiene la Bandeja vacía</t>
        </is>
      </c>
      <c r="H75" s="32" t="inlineStr">
        <is>
          <t>El admin activa en Suscripciones la 511 para Ruta Bus y rutabus vuelve a entrar</t>
        </is>
      </c>
      <c r="I75" s="32" t="inlineStr">
        <is>
          <t>rutabus ve en la Bandeja los reclamos de la 511</t>
        </is>
      </c>
      <c r="J75" s="32" t="n"/>
      <c r="K75" s="30" t="inlineStr">
        <is>
          <t>Pasa</t>
        </is>
      </c>
      <c r="L75" s="30" t="inlineStr">
        <is>
          <t>Probado 12/10/2026: rutabus tenía la Bandeja vacía; admin activó en Suscripciones la 511 para Ruta Bus y al volver a entrar rutabus ve "Líneas habilitadas: 511" y sus 10 reclamos. Por pedido del equipo, la suscripción de la 511 quedó ACTIVA (no se suspendió al terminar). | Al terminar, suspender la suscripción para dejar los datos como estaban. Cambio N° 33.</t>
        </is>
      </c>
      <c r="M75" s="30" t="inlineStr">
        <is>
          <t>Claude (automatizado)</t>
        </is>
      </c>
      <c r="N75" s="31" t="n">
        <v>46307</v>
      </c>
    </row>
    <row r="76" ht="23.85" customHeight="1" s="21">
      <c r="A76" s="28" t="n">
        <v>75</v>
      </c>
      <c r="B76" s="29" t="inlineStr">
        <is>
          <t>CA-RNF10-3</t>
        </is>
      </c>
      <c r="C76" s="28" t="inlineStr">
        <is>
          <t>RNF-10 Datos de prueba</t>
        </is>
      </c>
      <c r="D76" s="28" t="inlineStr">
        <is>
          <t>8. Seguridad en la base de datos</t>
        </is>
      </c>
      <c r="E76" s="28" t="inlineStr">
        <is>
          <t>Responsable de la base (SQL Editor de la beta)</t>
        </is>
      </c>
      <c r="F76" s="28" t="inlineStr">
        <is>
          <t>Base de datos</t>
        </is>
      </c>
      <c r="G76" s="28" t="inlineStr">
        <is>
          <t>La beta tiene los datos de prueba cargados</t>
        </is>
      </c>
      <c r="H76" s="28" t="inlineStr">
        <is>
          <t>Corro borrar_datos_prueba_beta.sql y después verificar_base_beta.sql</t>
        </is>
      </c>
      <c r="I76" s="28" t="inlineStr">
        <is>
          <t>Quedan 0 cuentas de prueba, 0 reclamos y sin suscripciones de prueba; el próximo reclamo recibe OB-2026-0001</t>
        </is>
      </c>
      <c r="J76" s="28" t="inlineStr">
        <is>
          <t>Si se quiere seguir probando, volver a correr datos_prueba_beta.sql.</t>
        </is>
      </c>
      <c r="K76" s="30" t="n"/>
      <c r="L76" s="30" t="inlineStr">
        <is>
          <t>Hacerlo recién al cerrar las pruebas del equipo (Pendiente N° 28). Cambio N° 33. | No se corre durante las pruebas: borra los datos que usa el equipo.</t>
        </is>
      </c>
      <c r="M76" s="30" t="n"/>
      <c r="N76" s="31" t="n"/>
    </row>
    <row r="77" ht="23.85" customHeight="1" s="21">
      <c r="A77" s="32" t="n">
        <v>76</v>
      </c>
      <c r="B77" s="33" t="inlineStr">
        <is>
          <t>CA-RNF06-3</t>
        </is>
      </c>
      <c r="C77" s="32" t="inlineStr">
        <is>
          <t>RNF-06 Accesibilidad</t>
        </is>
      </c>
      <c r="D77" s="32" t="inlineStr">
        <is>
          <t>9. Accesibilidad</t>
        </is>
      </c>
      <c r="E77" s="32" t="inlineStr">
        <is>
          <t>Cualquiera</t>
        </is>
      </c>
      <c r="F77" s="32" t="inlineStr">
        <is>
          <t>App</t>
        </is>
      </c>
      <c r="G77" s="32" t="inlineStr">
        <is>
          <t>Estoy en Ajustes (o, con una cuenta de empresa o administración, en Bandeja, Cuentas o Suscripciones)</t>
        </is>
      </c>
      <c r="H77" s="32" t="inlineStr">
        <is>
          <t>Desplazo la pantalla hacia abajo</t>
        </is>
      </c>
      <c r="I77" s="32" t="inlineStr">
        <is>
          <t>El encabezado pasa por debajo de una franja del mismo color; nunca se ve encimado con la hora ni con los íconos de la barra de estado</t>
        </is>
      </c>
      <c r="J77" s="32" t="inlineStr">
        <is>
          <t>Probar también con tema oscuro.</t>
        </is>
      </c>
      <c r="K77" s="30" t="inlineStr">
        <is>
          <t>Pasa</t>
        </is>
      </c>
      <c r="L77" s="30" t="inlineStr">
        <is>
          <t>Revisión del Cambio N° 39 (12/10/2026, con vecino1, app recargada). 1) Íconos de la barra de estado, medidos sobre la captura (luminancia de la hora contra el fondo): tema claro, Ajustes arriba y desplazada → íconos blancos sobre la franja azul oscura; al pasar a Reportar vuelven a verse oscuros sobre el fondo claro. Tema oscuro, Ajustes arriba y desplazada → blancos; en Reportar siguen blancos, lo que es correcto porque el fondo es casi negro. Con letra 1.0 Ajustes entra entero en la pantalla y no se desplaza, así que "desplazada" se probó con letra al máximo (2.0); al terminar volví la letra a 1.0 y el tema a Claro. Captura: CA-RNF06-3-iconos.png. 2) Mapa: con la ficha de San Martín y Bolívar abierta, "Paradas © colaboradores de OpenStreetMap" queda justo encima de la ficha (~11 dp de separación) en vez de flotar en el medio; al cerrar con la X vuelve abajo, a la misma posición de antes. Captura: CA-RNF06-3-mapa.png. | Probado 12/10/2026 con letra al máximo, con vecino1 en Ajustes, desplazando hasta que el título pasa por arriba. La barra de estado ocupa y = 0 a 132 px; la franja azul la cubre entera y el título recién se ve desde y = 132, así que nunca se encima con la hora ni con los íconos. Igual en tema claro y oscuro (captura: claro a la izquierda, oscuro a la derecha). Detalle: en tema claro los íconos de la barra de estado se ven oscuros sobre la franja azul oscura (poco contraste); en oscuro se ven blancos. Al terminar volví a tema Claro. | Agregado el 12/10/2026 (Registro de cambio N° 38).</t>
        </is>
      </c>
      <c r="M77" s="30" t="inlineStr">
        <is>
          <t>Claude (automatizado)</t>
        </is>
      </c>
      <c r="N77" s="31" t="n">
        <v>46307</v>
      </c>
    </row>
    <row r="78" ht="23.85" customHeight="1" s="21">
      <c r="A78" s="28" t="n">
        <v>77</v>
      </c>
      <c r="B78" s="29" t="inlineStr">
        <is>
          <t>CA-RF01-7</t>
        </is>
      </c>
      <c r="C78" s="28" t="inlineStr">
        <is>
          <t>RF-01 Registro</t>
        </is>
      </c>
      <c r="D78" s="28" t="inlineStr">
        <is>
          <t>1. Registro e inicio de sesión</t>
        </is>
      </c>
      <c r="E78" s="28" t="inlineStr">
        <is>
          <t>Correo nuevo (sin cuenta)</t>
        </is>
      </c>
      <c r="F78" s="28" t="inlineStr">
        <is>
          <t>App</t>
        </is>
      </c>
      <c r="G78" s="28" t="inlineStr">
        <is>
          <t>Supabase ya mandó el máximo de correos de la hora (con el SMTP incluido son 2)</t>
        </is>
      </c>
      <c r="H78" s="28" t="inlineStr">
        <is>
          <t>Me registro con un correo nuevo</t>
        </is>
      </c>
      <c r="I78" s="28" t="inlineStr">
        <is>
          <t>Se muestra "Se enviaron demasiados correos en poco tiempo. Esperá alrededor de una hora e intentá de nuevo." y la cuenta no se crea</t>
        </is>
      </c>
      <c r="J78" s="28" t="inlineStr">
        <is>
          <t>Registrar 3 correos nuevos seguidos; el tercero tiene que mostrar el mensaje.</t>
        </is>
      </c>
      <c r="K78" s="30" t="inlineStr">
        <is>
          <t>Pasa</t>
        </is>
      </c>
      <c r="L78" s="30" t="inlineStr">
        <is>
          <t>Probado 12/10/2026 en el emulador: registré desde la app, seguidas, ojoalbondi.app+limite1@gmail.com (17:56) y +limite2 (17:59): las dos mostraron "Cuenta creada". Con +limite3 (18:01) apareció "Se enviaron demasiados correos en poco tiempo. Esperá alrededor de una hora e intentá de nuevo." y la cuenta no se creó. Datos: nombre Prueba, apellido Límite, nacimiento 15/10/1995, contraseña Prueba123!. En la base quedaron limite1 y limite2 (ciudadano, sin confirmar; no se abrió ningún mail) y no existe limite3. Captura: "Cuenta creada" de limite1 y el aviso de limite3. | Agregado el 12/10/2026 (Registro de cambio N° 38). Gasta el cupo de correos: dejarlo para después de los casos de mail.</t>
        </is>
      </c>
      <c r="M78" s="30" t="inlineStr">
        <is>
          <t>Claude (automatizado)</t>
        </is>
      </c>
      <c r="N78" s="31" t="n">
        <v>46307</v>
      </c>
    </row>
    <row r="79" ht="23.85" customHeight="1" s="21">
      <c r="A79" s="28" t="n">
        <v>78</v>
      </c>
      <c r="B79" s="29" t="inlineStr">
        <is>
          <t>CA-RF03-9</t>
        </is>
      </c>
      <c r="C79" s="28" t="inlineStr">
        <is>
          <t>RF-03 Crear reclamo</t>
        </is>
      </c>
      <c r="D79" s="28" t="inlineStr">
        <is>
          <t>2. Ciudadano: crear reclamo</t>
        </is>
      </c>
      <c r="E79" s="28" t="inlineStr">
        <is>
          <t>vecino1@prueba.ojoalbondi</t>
        </is>
      </c>
      <c r="F79" s="28" t="inlineStr">
        <is>
          <t>App</t>
        </is>
      </c>
      <c r="G79" s="28" t="inlineStr">
        <is>
          <t>Expo Go (o la app) no tiene el permiso de ubicación y abrí el mapa de paradas</t>
        </is>
      </c>
      <c r="H79" s="28" t="inlineStr">
        <is>
          <t>Busco una calle y altura</t>
        </is>
      </c>
      <c r="I79" s="28" t="inlineStr">
        <is>
          <t>Se muestra "Para buscar direcciones, la app necesita el permiso de ubicación." con el botón "Dar permiso"; al darlo, la búsqueda se hace</t>
        </is>
      </c>
      <c r="J79" s="28" t="inlineStr">
        <is>
          <t>Quitar el permiso: adb shell pm revoke host.exp.exponent android.permission.ACCESS_FINE_LOCATION (y ACCESS_COARSE_LOCATION). Al terminar, devolver el permiso.</t>
        </is>
      </c>
      <c r="K79" s="30" t="inlineStr">
        <is>
          <t>Pasa</t>
        </is>
      </c>
      <c r="L79" s="30" t="inlineStr">
        <is>
          <t>Probado 12/10/2026 con vecino1: con el permiso de ubicación de Expo Go quitado (pm revoke), en "Elegir la parada en el mapa" busqué "Lorenzo Lopez 600" y apareció "Para buscar direcciones, la app necesita el permiso de ubicación. También podés mover el mapa y tocar la parada." con el botón "Dar permiso". Al tocarlo se abrió el diálogo de Android; con "While using the app" la búsqueda se hizo sola y el mapa se centró en Lorenzo López y Rivadavia (texto sin cambios). El permiso quedó devuelto. Captura: aviso, diálogo y resultado. | Agregado el 12/10/2026 (cambio de SelectorParada.tsx posterior al Registro de cambio N° 40: aviso de permiso para el buscador).</t>
        </is>
      </c>
      <c r="M79" s="30" t="inlineStr">
        <is>
          <t>Claude (automatizado)</t>
        </is>
      </c>
      <c r="N79" s="31" t="n">
        <v>46307</v>
      </c>
    </row>
  </sheetData>
  <autoFilter ref="A1:N300"/>
  <conditionalFormatting sqref="K2:K300">
    <cfRule type="cellIs" rank="0" priority="2" equalAverage="0" operator="equal" aboveAverage="0" dxfId="5" text="" percent="0" bottom="0">
      <formula>"Pasa"</formula>
    </cfRule>
    <cfRule type="cellIs" rank="0" priority="3" equalAverage="0" operator="equal" aboveAverage="0" dxfId="6" text="" percent="0" bottom="0">
      <formula>"Falla"</formula>
    </cfRule>
    <cfRule type="cellIs" rank="0" priority="4" equalAverage="0" operator="equal" aboveAverage="0" dxfId="7" text="" percent="0" bottom="0">
      <formula>"Bloqueado"</formula>
    </cfRule>
  </conditionalFormatting>
  <dataValidations count="2">
    <dataValidation sqref="K2:K300" showDropDown="0" showInputMessage="0" showErrorMessage="1" allowBlank="1" errorTitle="Resultado" error="Elegí Pasa, Falla o Bloqueado." type="list" errorStyle="stop" operator="between">
      <formula1>"Pasa,Falla,Bloqueado"</formula1>
      <formula2>0</formula2>
    </dataValidation>
    <dataValidation sqref="N2:N300" showDropDown="0" showInputMessage="0" showErrorMessage="1" allowBlank="1" error="Ingresá una fecha válida (DD/MM/AAAA)." type="date" errorStyle="stop" operator="greaterThan">
      <formula1>DATE(2026,1,1)</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20" min="1" max="1"/>
    <col width="13" customWidth="1" style="20" min="2" max="7"/>
  </cols>
  <sheetData>
    <row r="1" ht="17.35" customHeight="1" s="21">
      <c r="A1" s="34" t="inlineStr">
        <is>
          <t>Resumen de avance</t>
        </is>
      </c>
    </row>
    <row r="3" ht="15" customHeight="1" s="21">
      <c r="A3" s="27" t="inlineStr">
        <is>
          <t>Total</t>
        </is>
      </c>
      <c r="B3" s="27" t="inlineStr">
        <is>
          <t>Pasa</t>
        </is>
      </c>
      <c r="C3" s="27" t="inlineStr">
        <is>
          <t>Falla</t>
        </is>
      </c>
      <c r="D3" s="27" t="inlineStr">
        <is>
          <t>Bloqueado</t>
        </is>
      </c>
      <c r="E3" s="27" t="inlineStr">
        <is>
          <t>Sin probar</t>
        </is>
      </c>
      <c r="F3" s="27" t="inlineStr">
        <is>
          <t>% aprobado</t>
        </is>
      </c>
    </row>
    <row r="4" ht="15" customHeight="1" s="21">
      <c r="A4" s="35">
        <f>COUNTA('Plan de pruebas'!$B$2:$B$300)</f>
        <v/>
      </c>
      <c r="B4" s="35">
        <f>COUNTIF('Plan de pruebas'!$K$2:$K$300,"Pasa")</f>
        <v/>
      </c>
      <c r="C4" s="35">
        <f>COUNTIF('Plan de pruebas'!$K$2:$K$300,"Falla")</f>
        <v/>
      </c>
      <c r="D4" s="35">
        <f>COUNTIF('Plan de pruebas'!$K$2:$K$300,"Bloqueado")</f>
        <v/>
      </c>
      <c r="E4" s="35">
        <f>A4-B4-C4-D4</f>
        <v/>
      </c>
      <c r="F4" s="36">
        <f>IF(A4=0,0,B4/A4)</f>
        <v/>
      </c>
    </row>
    <row r="6" ht="15" customHeight="1" s="21">
      <c r="A6" s="27" t="inlineStr">
        <is>
          <t>Requerimiento</t>
        </is>
      </c>
      <c r="B6" s="27" t="inlineStr">
        <is>
          <t>Criterios</t>
        </is>
      </c>
      <c r="C6" s="27" t="inlineStr">
        <is>
          <t>Pasa</t>
        </is>
      </c>
      <c r="D6" s="27" t="inlineStr">
        <is>
          <t>Falla</t>
        </is>
      </c>
      <c r="E6" s="27" t="inlineStr">
        <is>
          <t>Bloqueado</t>
        </is>
      </c>
      <c r="F6" s="27" t="inlineStr">
        <is>
          <t>Sin probar</t>
        </is>
      </c>
      <c r="G6" s="27" t="inlineStr">
        <is>
          <t>Estado</t>
        </is>
      </c>
    </row>
    <row r="7" ht="15" customHeight="1" s="21">
      <c r="A7" s="37" t="inlineStr">
        <is>
          <t>RF-01 Registro</t>
        </is>
      </c>
      <c r="B7" s="38">
        <f>COUNTIF('Plan de pruebas'!$C$2:$C$300,A7)</f>
        <v/>
      </c>
      <c r="C7" s="38">
        <f>COUNTIFS('Plan de pruebas'!$C$2:$C$300,$A7,'Plan de pruebas'!$K$2:$K$300,"Pasa")</f>
        <v/>
      </c>
      <c r="D7" s="38">
        <f>COUNTIFS('Plan de pruebas'!$C$2:$C$300,$A7,'Plan de pruebas'!$K$2:$K$300,"Falla")</f>
        <v/>
      </c>
      <c r="E7" s="38">
        <f>COUNTIFS('Plan de pruebas'!$C$2:$C$300,$A7,'Plan de pruebas'!$K$2:$K$300,"Bloqueado")</f>
        <v/>
      </c>
      <c r="F7" s="38">
        <f>B7-C7-D7-E7</f>
        <v/>
      </c>
      <c r="G7" s="39">
        <f>IF(C7=B7,"Cumplido",IF(D7&gt;0,"Con fallas",IF(C7+D7+E7=0,"Sin probar","En curso")))</f>
        <v/>
      </c>
    </row>
    <row r="8" ht="15" customHeight="1" s="21">
      <c r="A8" s="37" t="inlineStr">
        <is>
          <t>RF-02 Inicio de sesión</t>
        </is>
      </c>
      <c r="B8" s="38">
        <f>COUNTIF('Plan de pruebas'!$C$2:$C$300,A8)</f>
        <v/>
      </c>
      <c r="C8" s="38">
        <f>COUNTIFS('Plan de pruebas'!$C$2:$C$300,$A8,'Plan de pruebas'!$K$2:$K$300,"Pasa")</f>
        <v/>
      </c>
      <c r="D8" s="38">
        <f>COUNTIFS('Plan de pruebas'!$C$2:$C$300,$A8,'Plan de pruebas'!$K$2:$K$300,"Falla")</f>
        <v/>
      </c>
      <c r="E8" s="38">
        <f>COUNTIFS('Plan de pruebas'!$C$2:$C$300,$A8,'Plan de pruebas'!$K$2:$K$300,"Bloqueado")</f>
        <v/>
      </c>
      <c r="F8" s="38">
        <f>B8-C8-D8-E8</f>
        <v/>
      </c>
      <c r="G8" s="39">
        <f>IF(C8=B8,"Cumplido",IF(D8&gt;0,"Con fallas",IF(C8+D8+E8=0,"Sin probar","En curso")))</f>
        <v/>
      </c>
    </row>
    <row r="9" ht="15" customHeight="1" s="21">
      <c r="A9" s="37" t="inlineStr">
        <is>
          <t>RN-02 Cuentas institucionales</t>
        </is>
      </c>
      <c r="B9" s="38">
        <f>COUNTIF('Plan de pruebas'!$C$2:$C$300,A9)</f>
        <v/>
      </c>
      <c r="C9" s="38">
        <f>COUNTIFS('Plan de pruebas'!$C$2:$C$300,$A9,'Plan de pruebas'!$K$2:$K$300,"Pasa")</f>
        <v/>
      </c>
      <c r="D9" s="38">
        <f>COUNTIFS('Plan de pruebas'!$C$2:$C$300,$A9,'Plan de pruebas'!$K$2:$K$300,"Falla")</f>
        <v/>
      </c>
      <c r="E9" s="38">
        <f>COUNTIFS('Plan de pruebas'!$C$2:$C$300,$A9,'Plan de pruebas'!$K$2:$K$300,"Bloqueado")</f>
        <v/>
      </c>
      <c r="F9" s="38">
        <f>B9-C9-D9-E9</f>
        <v/>
      </c>
      <c r="G9" s="39">
        <f>IF(C9=B9,"Cumplido",IF(D9&gt;0,"Con fallas",IF(C9+D9+E9=0,"Sin probar","En curso")))</f>
        <v/>
      </c>
    </row>
    <row r="10" ht="15" customHeight="1" s="21">
      <c r="A10" s="37" t="inlineStr">
        <is>
          <t>RF-03 Crear reclamo</t>
        </is>
      </c>
      <c r="B10" s="38">
        <f>COUNTIF('Plan de pruebas'!$C$2:$C$300,A10)</f>
        <v/>
      </c>
      <c r="C10" s="38">
        <f>COUNTIFS('Plan de pruebas'!$C$2:$C$300,$A10,'Plan de pruebas'!$K$2:$K$300,"Pasa")</f>
        <v/>
      </c>
      <c r="D10" s="38">
        <f>COUNTIFS('Plan de pruebas'!$C$2:$C$300,$A10,'Plan de pruebas'!$K$2:$K$300,"Falla")</f>
        <v/>
      </c>
      <c r="E10" s="38">
        <f>COUNTIFS('Plan de pruebas'!$C$2:$C$300,$A10,'Plan de pruebas'!$K$2:$K$300,"Bloqueado")</f>
        <v/>
      </c>
      <c r="F10" s="38">
        <f>B10-C10-D10-E10</f>
        <v/>
      </c>
      <c r="G10" s="39">
        <f>IF(C10=B10,"Cumplido",IF(D10&gt;0,"Con fallas",IF(C10+D10+E10=0,"Sin probar","En curso")))</f>
        <v/>
      </c>
    </row>
    <row r="11" ht="15" customHeight="1" s="21">
      <c r="A11" s="37" t="inlineStr">
        <is>
          <t>RF-04 Confirmación</t>
        </is>
      </c>
      <c r="B11" s="38">
        <f>COUNTIF('Plan de pruebas'!$C$2:$C$300,A11)</f>
        <v/>
      </c>
      <c r="C11" s="38">
        <f>COUNTIFS('Plan de pruebas'!$C$2:$C$300,$A11,'Plan de pruebas'!$K$2:$K$300,"Pasa")</f>
        <v/>
      </c>
      <c r="D11" s="38">
        <f>COUNTIFS('Plan de pruebas'!$C$2:$C$300,$A11,'Plan de pruebas'!$K$2:$K$300,"Falla")</f>
        <v/>
      </c>
      <c r="E11" s="38">
        <f>COUNTIFS('Plan de pruebas'!$C$2:$C$300,$A11,'Plan de pruebas'!$K$2:$K$300,"Bloqueado")</f>
        <v/>
      </c>
      <c r="F11" s="38">
        <f>B11-C11-D11-E11</f>
        <v/>
      </c>
      <c r="G11" s="39">
        <f>IF(C11=B11,"Cumplido",IF(D11&gt;0,"Con fallas",IF(C11+D11+E11=0,"Sin probar","En curso")))</f>
        <v/>
      </c>
    </row>
    <row r="12" ht="15" customHeight="1" s="21">
      <c r="A12" s="37" t="inlineStr">
        <is>
          <t>RF-05 Inicio y Mis reportes</t>
        </is>
      </c>
      <c r="B12" s="38">
        <f>COUNTIF('Plan de pruebas'!$C$2:$C$300,A12)</f>
        <v/>
      </c>
      <c r="C12" s="38">
        <f>COUNTIFS('Plan de pruebas'!$C$2:$C$300,$A12,'Plan de pruebas'!$K$2:$K$300,"Pasa")</f>
        <v/>
      </c>
      <c r="D12" s="38">
        <f>COUNTIFS('Plan de pruebas'!$C$2:$C$300,$A12,'Plan de pruebas'!$K$2:$K$300,"Falla")</f>
        <v/>
      </c>
      <c r="E12" s="38">
        <f>COUNTIFS('Plan de pruebas'!$C$2:$C$300,$A12,'Plan de pruebas'!$K$2:$K$300,"Bloqueado")</f>
        <v/>
      </c>
      <c r="F12" s="38">
        <f>B12-C12-D12-E12</f>
        <v/>
      </c>
      <c r="G12" s="39">
        <f>IF(C12=B12,"Cumplido",IF(D12&gt;0,"Con fallas",IF(C12+D12+E12=0,"Sin probar","En curso")))</f>
        <v/>
      </c>
    </row>
    <row r="13" ht="15" customHeight="1" s="21">
      <c r="A13" s="37" t="inlineStr">
        <is>
          <t>RF-06 Ajustes</t>
        </is>
      </c>
      <c r="B13" s="38">
        <f>COUNTIF('Plan de pruebas'!$C$2:$C$300,A13)</f>
        <v/>
      </c>
      <c r="C13" s="38">
        <f>COUNTIFS('Plan de pruebas'!$C$2:$C$300,$A13,'Plan de pruebas'!$K$2:$K$300,"Pasa")</f>
        <v/>
      </c>
      <c r="D13" s="38">
        <f>COUNTIFS('Plan de pruebas'!$C$2:$C$300,$A13,'Plan de pruebas'!$K$2:$K$300,"Falla")</f>
        <v/>
      </c>
      <c r="E13" s="38">
        <f>COUNTIFS('Plan de pruebas'!$C$2:$C$300,$A13,'Plan de pruebas'!$K$2:$K$300,"Bloqueado")</f>
        <v/>
      </c>
      <c r="F13" s="38">
        <f>B13-C13-D13-E13</f>
        <v/>
      </c>
      <c r="G13" s="39">
        <f>IF(C13=B13,"Cumplido",IF(D13&gt;0,"Con fallas",IF(C13+D13+E13=0,"Sin probar","En curso")))</f>
        <v/>
      </c>
    </row>
    <row r="14" ht="15" customHeight="1" s="21">
      <c r="A14" s="37" t="inlineStr">
        <is>
          <t>RF-07 Modo sin conexión</t>
        </is>
      </c>
      <c r="B14" s="38">
        <f>COUNTIF('Plan de pruebas'!$C$2:$C$300,A14)</f>
        <v/>
      </c>
      <c r="C14" s="38">
        <f>COUNTIFS('Plan de pruebas'!$C$2:$C$300,$A14,'Plan de pruebas'!$K$2:$K$300,"Pasa")</f>
        <v/>
      </c>
      <c r="D14" s="38">
        <f>COUNTIFS('Plan de pruebas'!$C$2:$C$300,$A14,'Plan de pruebas'!$K$2:$K$300,"Falla")</f>
        <v/>
      </c>
      <c r="E14" s="38">
        <f>COUNTIFS('Plan de pruebas'!$C$2:$C$300,$A14,'Plan de pruebas'!$K$2:$K$300,"Bloqueado")</f>
        <v/>
      </c>
      <c r="F14" s="38">
        <f>B14-C14-D14-E14</f>
        <v/>
      </c>
      <c r="G14" s="39">
        <f>IF(C14=B14,"Cumplido",IF(D14&gt;0,"Con fallas",IF(C14+D14+E14=0,"Sin probar","En curso")))</f>
        <v/>
      </c>
    </row>
    <row r="15" ht="15" customHeight="1" s="21">
      <c r="A15" s="37" t="inlineStr">
        <is>
          <t>RF-10 Acceso por rol</t>
        </is>
      </c>
      <c r="B15" s="38">
        <f>COUNTIF('Plan de pruebas'!$C$2:$C$300,A15)</f>
        <v/>
      </c>
      <c r="C15" s="38">
        <f>COUNTIFS('Plan de pruebas'!$C$2:$C$300,$A15,'Plan de pruebas'!$K$2:$K$300,"Pasa")</f>
        <v/>
      </c>
      <c r="D15" s="38">
        <f>COUNTIFS('Plan de pruebas'!$C$2:$C$300,$A15,'Plan de pruebas'!$K$2:$K$300,"Falla")</f>
        <v/>
      </c>
      <c r="E15" s="38">
        <f>COUNTIFS('Plan de pruebas'!$C$2:$C$300,$A15,'Plan de pruebas'!$K$2:$K$300,"Bloqueado")</f>
        <v/>
      </c>
      <c r="F15" s="38">
        <f>B15-C15-D15-E15</f>
        <v/>
      </c>
      <c r="G15" s="39">
        <f>IF(C15=B15,"Cumplido",IF(D15&gt;0,"Con fallas",IF(C15+D15+E15=0,"Sin probar","En curso")))</f>
        <v/>
      </c>
    </row>
    <row r="16" ht="15" customHeight="1" s="21">
      <c r="A16" s="37" t="inlineStr">
        <is>
          <t>RF-11 Bandeja de reclamos</t>
        </is>
      </c>
      <c r="B16" s="38">
        <f>COUNTIF('Plan de pruebas'!$C$2:$C$300,A16)</f>
        <v/>
      </c>
      <c r="C16" s="38">
        <f>COUNTIFS('Plan de pruebas'!$C$2:$C$300,$A16,'Plan de pruebas'!$K$2:$K$300,"Pasa")</f>
        <v/>
      </c>
      <c r="D16" s="38">
        <f>COUNTIFS('Plan de pruebas'!$C$2:$C$300,$A16,'Plan de pruebas'!$K$2:$K$300,"Falla")</f>
        <v/>
      </c>
      <c r="E16" s="38">
        <f>COUNTIFS('Plan de pruebas'!$C$2:$C$300,$A16,'Plan de pruebas'!$K$2:$K$300,"Bloqueado")</f>
        <v/>
      </c>
      <c r="F16" s="38">
        <f>B16-C16-D16-E16</f>
        <v/>
      </c>
      <c r="G16" s="39">
        <f>IF(C16=B16,"Cumplido",IF(D16&gt;0,"Con fallas",IF(C16+D16+E16=0,"Sin probar","En curso")))</f>
        <v/>
      </c>
    </row>
    <row r="17" ht="15" customHeight="1" s="21">
      <c r="A17" s="37" t="inlineStr">
        <is>
          <t>RF-13 Detalle del reclamo</t>
        </is>
      </c>
      <c r="B17" s="38">
        <f>COUNTIF('Plan de pruebas'!$C$2:$C$300,A17)</f>
        <v/>
      </c>
      <c r="C17" s="38">
        <f>COUNTIFS('Plan de pruebas'!$C$2:$C$300,$A17,'Plan de pruebas'!$K$2:$K$300,"Pasa")</f>
        <v/>
      </c>
      <c r="D17" s="38">
        <f>COUNTIFS('Plan de pruebas'!$C$2:$C$300,$A17,'Plan de pruebas'!$K$2:$K$300,"Falla")</f>
        <v/>
      </c>
      <c r="E17" s="38">
        <f>COUNTIFS('Plan de pruebas'!$C$2:$C$300,$A17,'Plan de pruebas'!$K$2:$K$300,"Bloqueado")</f>
        <v/>
      </c>
      <c r="F17" s="38">
        <f>B17-C17-D17-E17</f>
        <v/>
      </c>
      <c r="G17" s="39">
        <f>IF(C17=B17,"Cumplido",IF(D17&gt;0,"Con fallas",IF(C17+D17+E17=0,"Sin probar","En curso")))</f>
        <v/>
      </c>
    </row>
    <row r="18" ht="15" customHeight="1" s="21">
      <c r="A18" s="37" t="inlineStr">
        <is>
          <t>RF-14 Cambio de estado</t>
        </is>
      </c>
      <c r="B18" s="38">
        <f>COUNTIF('Plan de pruebas'!$C$2:$C$300,A18)</f>
        <v/>
      </c>
      <c r="C18" s="38">
        <f>COUNTIFS('Plan de pruebas'!$C$2:$C$300,$A18,'Plan de pruebas'!$K$2:$K$300,"Pasa")</f>
        <v/>
      </c>
      <c r="D18" s="38">
        <f>COUNTIFS('Plan de pruebas'!$C$2:$C$300,$A18,'Plan de pruebas'!$K$2:$K$300,"Falla")</f>
        <v/>
      </c>
      <c r="E18" s="38">
        <f>COUNTIFS('Plan de pruebas'!$C$2:$C$300,$A18,'Plan de pruebas'!$K$2:$K$300,"Bloqueado")</f>
        <v/>
      </c>
      <c r="F18" s="38">
        <f>B18-C18-D18-E18</f>
        <v/>
      </c>
      <c r="G18" s="39">
        <f>IF(C18=B18,"Cumplido",IF(D18&gt;0,"Con fallas",IF(C18+D18+E18=0,"Sin probar","En curso")))</f>
        <v/>
      </c>
    </row>
    <row r="19" ht="15" customHeight="1" s="21">
      <c r="A19" s="37" t="inlineStr">
        <is>
          <t>RF-15 Seguimiento</t>
        </is>
      </c>
      <c r="B19" s="38">
        <f>COUNTIF('Plan de pruebas'!$C$2:$C$300,A19)</f>
        <v/>
      </c>
      <c r="C19" s="38">
        <f>COUNTIFS('Plan de pruebas'!$C$2:$C$300,$A19,'Plan de pruebas'!$K$2:$K$300,"Pasa")</f>
        <v/>
      </c>
      <c r="D19" s="38">
        <f>COUNTIFS('Plan de pruebas'!$C$2:$C$300,$A19,'Plan de pruebas'!$K$2:$K$300,"Falla")</f>
        <v/>
      </c>
      <c r="E19" s="38">
        <f>COUNTIFS('Plan de pruebas'!$C$2:$C$300,$A19,'Plan de pruebas'!$K$2:$K$300,"Bloqueado")</f>
        <v/>
      </c>
      <c r="F19" s="38">
        <f>B19-C19-D19-E19</f>
        <v/>
      </c>
      <c r="G19" s="39">
        <f>IF(C19=B19,"Cumplido",IF(D19&gt;0,"Con fallas",IF(C19+D19+E19=0,"Sin probar","En curso")))</f>
        <v/>
      </c>
    </row>
    <row r="20" ht="15" customHeight="1" s="21">
      <c r="A20" s="37" t="inlineStr">
        <is>
          <t>RF-18 Asignación automática</t>
        </is>
      </c>
      <c r="B20" s="38">
        <f>COUNTIF('Plan de pruebas'!$C$2:$C$300,A20)</f>
        <v/>
      </c>
      <c r="C20" s="38">
        <f>COUNTIFS('Plan de pruebas'!$C$2:$C$300,$A20,'Plan de pruebas'!$K$2:$K$300,"Pasa")</f>
        <v/>
      </c>
      <c r="D20" s="38">
        <f>COUNTIFS('Plan de pruebas'!$C$2:$C$300,$A20,'Plan de pruebas'!$K$2:$K$300,"Falla")</f>
        <v/>
      </c>
      <c r="E20" s="38">
        <f>COUNTIFS('Plan de pruebas'!$C$2:$C$300,$A20,'Plan de pruebas'!$K$2:$K$300,"Bloqueado")</f>
        <v/>
      </c>
      <c r="F20" s="38">
        <f>B20-C20-D20-E20</f>
        <v/>
      </c>
      <c r="G20" s="39">
        <f>IF(C20=B20,"Cumplido",IF(D20&gt;0,"Con fallas",IF(C20+D20+E20=0,"Sin probar","En curso")))</f>
        <v/>
      </c>
    </row>
    <row r="21" ht="15" customHeight="1" s="21">
      <c r="A21" s="37" t="inlineStr">
        <is>
          <t>RF-25 Suscripción por línea</t>
        </is>
      </c>
      <c r="B21" s="38">
        <f>COUNTIF('Plan de pruebas'!$C$2:$C$300,A21)</f>
        <v/>
      </c>
      <c r="C21" s="38">
        <f>COUNTIFS('Plan de pruebas'!$C$2:$C$300,$A21,'Plan de pruebas'!$K$2:$K$300,"Pasa")</f>
        <v/>
      </c>
      <c r="D21" s="38">
        <f>COUNTIFS('Plan de pruebas'!$C$2:$C$300,$A21,'Plan de pruebas'!$K$2:$K$300,"Falla")</f>
        <v/>
      </c>
      <c r="E21" s="38">
        <f>COUNTIFS('Plan de pruebas'!$C$2:$C$300,$A21,'Plan de pruebas'!$K$2:$K$300,"Bloqueado")</f>
        <v/>
      </c>
      <c r="F21" s="38">
        <f>B21-C21-D21-E21</f>
        <v/>
      </c>
      <c r="G21" s="39">
        <f>IF(C21=B21,"Cumplido",IF(D21&gt;0,"Con fallas",IF(C21+D21+E21=0,"Sin probar","En curso")))</f>
        <v/>
      </c>
    </row>
    <row r="22" ht="15" customHeight="1" s="21">
      <c r="A22" s="37" t="inlineStr">
        <is>
          <t>RF-19 Historial inmutable</t>
        </is>
      </c>
      <c r="B22" s="38">
        <f>COUNTIF('Plan de pruebas'!$C$2:$C$300,A22)</f>
        <v/>
      </c>
      <c r="C22" s="38">
        <f>COUNTIFS('Plan de pruebas'!$C$2:$C$300,$A22,'Plan de pruebas'!$K$2:$K$300,"Pasa")</f>
        <v/>
      </c>
      <c r="D22" s="38">
        <f>COUNTIFS('Plan de pruebas'!$C$2:$C$300,$A22,'Plan de pruebas'!$K$2:$K$300,"Falla")</f>
        <v/>
      </c>
      <c r="E22" s="38">
        <f>COUNTIFS('Plan de pruebas'!$C$2:$C$300,$A22,'Plan de pruebas'!$K$2:$K$300,"Bloqueado")</f>
        <v/>
      </c>
      <c r="F22" s="38">
        <f>B22-C22-D22-E22</f>
        <v/>
      </c>
      <c r="G22" s="39">
        <f>IF(C22=B22,"Cumplido",IF(D22&gt;0,"Con fallas",IF(C22+D22+E22=0,"Sin probar","En curso")))</f>
        <v/>
      </c>
    </row>
    <row r="23" ht="15" customHeight="1" s="21">
      <c r="A23" s="37" t="inlineStr">
        <is>
          <t>RNF-01 Seguridad por rol</t>
        </is>
      </c>
      <c r="B23" s="38">
        <f>COUNTIF('Plan de pruebas'!$C$2:$C$300,A23)</f>
        <v/>
      </c>
      <c r="C23" s="38">
        <f>COUNTIFS('Plan de pruebas'!$C$2:$C$300,$A23,'Plan de pruebas'!$K$2:$K$300,"Pasa")</f>
        <v/>
      </c>
      <c r="D23" s="38">
        <f>COUNTIFS('Plan de pruebas'!$C$2:$C$300,$A23,'Plan de pruebas'!$K$2:$K$300,"Falla")</f>
        <v/>
      </c>
      <c r="E23" s="38">
        <f>COUNTIFS('Plan de pruebas'!$C$2:$C$300,$A23,'Plan de pruebas'!$K$2:$K$300,"Bloqueado")</f>
        <v/>
      </c>
      <c r="F23" s="38">
        <f>B23-C23-D23-E23</f>
        <v/>
      </c>
      <c r="G23" s="39">
        <f>IF(C23=B23,"Cumplido",IF(D23&gt;0,"Con fallas",IF(C23+D23+E23=0,"Sin probar","En curso")))</f>
        <v/>
      </c>
    </row>
    <row r="24" ht="15" customHeight="1" s="21">
      <c r="A24" s="37" t="inlineStr">
        <is>
          <t>RNF-06 Accesibilidad</t>
        </is>
      </c>
      <c r="B24" s="38">
        <f>COUNTIF('Plan de pruebas'!$C$2:$C$300,A24)</f>
        <v/>
      </c>
      <c r="C24" s="38">
        <f>COUNTIFS('Plan de pruebas'!$C$2:$C$300,$A24,'Plan de pruebas'!$K$2:$K$300,"Pasa")</f>
        <v/>
      </c>
      <c r="D24" s="38">
        <f>COUNTIFS('Plan de pruebas'!$C$2:$C$300,$A24,'Plan de pruebas'!$K$2:$K$300,"Falla")</f>
        <v/>
      </c>
      <c r="E24" s="38">
        <f>COUNTIFS('Plan de pruebas'!$C$2:$C$300,$A24,'Plan de pruebas'!$K$2:$K$300,"Bloqueado")</f>
        <v/>
      </c>
      <c r="F24" s="38">
        <f>B24-C24-D24-E24</f>
        <v/>
      </c>
      <c r="G24" s="39">
        <f>IF(C24=B24,"Cumplido",IF(D24&gt;0,"Con fallas",IF(C24+D24+E24=0,"Sin probar","En curso")))</f>
        <v/>
      </c>
    </row>
    <row r="26" ht="15" customHeight="1" s="21">
      <c r="A26" s="40" t="inlineStr">
        <is>
          <t>Se calcula solo a partir de la hoja "Plan de pruebas". No editar.</t>
        </is>
      </c>
    </row>
  </sheetData>
  <conditionalFormatting sqref="G7:G24">
    <cfRule type="cellIs" rank="0" priority="2" equalAverage="0" operator="equal" aboveAverage="0" dxfId="5" text="" percent="0" bottom="0">
      <formula>"Cumplido"</formula>
    </cfRule>
    <cfRule type="cellIs" rank="0" priority="3" equalAverage="0" operator="equal" aboveAverage="0" dxfId="6" text="" percent="0" bottom="0">
      <formula>"Con fallas"</formula>
    </cfRule>
    <cfRule type="cellIs" rank="0" priority="4" equalAverage="0" operator="equal" aboveAverage="0" dxfId="7" text="" percent="0" bottom="0">
      <formula>"En curso"</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2026-10-05T22:16:02Z</dcterms:created>
  <dcterms:modified xsi:type="dcterms:W3CDTF">2026-10-12T21:01:45Z</dcterms:modified>
  <cp:revision>0</cp:revision>
</cp:coreProperties>
</file>